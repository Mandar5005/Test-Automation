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929" codeName="{28389E77-7640-9E18-AD5C-E98E2F4A8B83}"/>
  <workbookPr codeName="ThisWorkbook" defaultThemeVersion="124226"/>
  <mc:AlternateContent xmlns:mc="http://schemas.openxmlformats.org/markup-compatibility/2006">
    <mc:Choice Requires="x15">
      <x15ac:absPath xmlns:x15ac="http://schemas.microsoft.com/office/spreadsheetml/2010/11/ac" url="C:\Users\apurva\Workspace\AutomationPacks\RegressionTesting_1\CommonResources\"/>
    </mc:Choice>
  </mc:AlternateContent>
  <xr:revisionPtr revIDLastSave="0" documentId="13_ncr:1_{4C9BF277-5629-434B-8944-4DC5AE45BF4F}" xr6:coauthVersionLast="47" xr6:coauthVersionMax="47" xr10:uidLastSave="{00000000-0000-0000-0000-000000000000}"/>
  <bookViews>
    <workbookView xWindow="-98" yWindow="-98" windowWidth="28996" windowHeight="13726" xr2:uid="{00000000-000D-0000-FFFF-FFFF00000000}"/>
  </bookViews>
  <sheets>
    <sheet name="Config" sheetId="1" r:id="rId1"/>
    <sheet name="Env" sheetId="3" r:id="rId2"/>
    <sheet name="Sheet1" sheetId="4" r:id="rId3"/>
  </sheet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3" i="1" l="1"/>
  <c r="B62" i="1"/>
  <c r="B61" i="1"/>
  <c r="B57" i="1"/>
  <c r="B56" i="1"/>
  <c r="B53" i="1"/>
  <c r="B52" i="1"/>
  <c r="B51" i="1"/>
  <c r="B28" i="1"/>
  <c r="B26" i="1"/>
  <c r="B25" i="1"/>
  <c r="B24" i="1"/>
  <c r="B23" i="1"/>
  <c r="B22" i="1"/>
  <c r="B21" i="1"/>
  <c r="B20" i="1"/>
  <c r="B19" i="1"/>
  <c r="B18" i="1"/>
  <c r="B16" i="1"/>
  <c r="B15" i="1"/>
  <c r="B14" i="1"/>
  <c r="B13" i="1"/>
  <c r="B12" i="3" l="1"/>
  <c r="B11" i="3"/>
  <c r="C12" i="3"/>
  <c r="C11" i="3"/>
  <c r="C10" i="3"/>
  <c r="B10" i="3" l="1"/>
  <c r="B7" i="3" l="1"/>
  <c r="B9" i="3" l="1"/>
  <c r="B8" i="3"/>
  <c r="B6" i="3" l="1"/>
  <c r="C9" i="3" l="1"/>
  <c r="C8" i="3"/>
  <c r="C7" i="3"/>
</calcChain>
</file>

<file path=xl/sharedStrings.xml><?xml version="1.0" encoding="utf-8"?>
<sst xmlns="http://schemas.openxmlformats.org/spreadsheetml/2006/main" count="148" uniqueCount="123">
  <si>
    <t>ParameterName</t>
  </si>
  <si>
    <t>Value</t>
  </si>
  <si>
    <t>PROJECT_NAME</t>
  </si>
  <si>
    <t>RegressionTesting_1</t>
  </si>
  <si>
    <t>MSEXCEL</t>
  </si>
  <si>
    <t>BASEURL</t>
  </si>
  <si>
    <t>CYCLENUMBER</t>
  </si>
  <si>
    <t>Cycle1</t>
  </si>
  <si>
    <t>BROWSERTYPE</t>
  </si>
  <si>
    <t>Chrome</t>
  </si>
  <si>
    <t>EXECUTION_APPROACH</t>
  </si>
  <si>
    <t>Timetravel</t>
  </si>
  <si>
    <t>USERINTERACTION</t>
  </si>
  <si>
    <t>TIMEOUT</t>
  </si>
  <si>
    <t>EMAIL_ID</t>
  </si>
  <si>
    <t>APPEND_DATA_RUNTIME</t>
  </si>
  <si>
    <t>N</t>
  </si>
  <si>
    <t>END_COMPARISON</t>
  </si>
  <si>
    <t>Y</t>
  </si>
  <si>
    <t>CONTROLLER_FILEPATH</t>
  </si>
  <si>
    <t>TRANSACTION_INPUT_FILEPATH</t>
  </si>
  <si>
    <t>DASHBOARDRESULTSPATH</t>
  </si>
  <si>
    <t>INPUT_DATA_FILEPATH</t>
  </si>
  <si>
    <t>STRUCTURE_SHEET_FILEPATH</t>
  </si>
  <si>
    <t>RESULTOUTPUT</t>
  </si>
  <si>
    <t>EXPECTEDVALUESPATH</t>
  </si>
  <si>
    <t>ACTUALVALUESPATH</t>
  </si>
  <si>
    <t>TRANSACTION_INFO</t>
  </si>
  <si>
    <t>VERIFICATIONTABLELISTPATH</t>
  </si>
  <si>
    <t>VERIFCATIONTEMPLATEPATH</t>
  </si>
  <si>
    <t>RESULT_FILEPATH</t>
  </si>
  <si>
    <t>VERIFICATIONRESULTSPATH</t>
  </si>
  <si>
    <t>DASHBOARD_FILEPATH</t>
  </si>
  <si>
    <t>CHANGEBUSINESSDATE_WSDL</t>
  </si>
  <si>
    <t>http://172.17.140.7:8085/ICDService/services/ChangeBusinessDayInterface?wsdl</t>
  </si>
  <si>
    <t>CHANGEBUSINESSDATE_REQUEST_XML</t>
  </si>
  <si>
    <t>DATABASE_TYPE</t>
  </si>
  <si>
    <t>Oracle</t>
  </si>
  <si>
    <t>DATABASE_HOST_IP_ADDRESS</t>
  </si>
  <si>
    <t>172.17.140.7</t>
  </si>
  <si>
    <t>DATABASE_PORT</t>
  </si>
  <si>
    <t>DATABASE_SID</t>
  </si>
  <si>
    <t>PRDCT12C</t>
  </si>
  <si>
    <t>DATABASE_NAME</t>
  </si>
  <si>
    <t>QC_Automation_HTML1_BASE</t>
  </si>
  <si>
    <t>Mandar/Sometime it may differ…</t>
  </si>
  <si>
    <t>APPLICATIONDATABASEUSERNAME</t>
  </si>
  <si>
    <t>APPLICATIONDATABASEPASSWORD</t>
  </si>
  <si>
    <t>AUTOMATION_BASE_8085</t>
  </si>
  <si>
    <t>JBEAM_HOST_IP_ADDRESS</t>
  </si>
  <si>
    <t>JBEAM_PORT</t>
  </si>
  <si>
    <t>JBEAM_SID</t>
  </si>
  <si>
    <t>JBEAMDATABASEUSERNAME</t>
  </si>
  <si>
    <t>QC_Automation_HTML1_BPMS_CORE</t>
  </si>
  <si>
    <t>JBEAMDATABASEPASSWORD</t>
  </si>
  <si>
    <t>AUTOMATION_CORE_8085</t>
  </si>
  <si>
    <t>JBEAM:SERVER:PORT</t>
  </si>
  <si>
    <t>172.17.140.7:8183</t>
  </si>
  <si>
    <t>FTP_SERVER_HOST</t>
  </si>
  <si>
    <t>Mandar…</t>
  </si>
  <si>
    <t>FTP_SERVER_PORT</t>
  </si>
  <si>
    <t>Mandar</t>
  </si>
  <si>
    <t>FTP_SERVER_USER_ID</t>
  </si>
  <si>
    <t>FTP_SERVER_PASSWORD</t>
  </si>
  <si>
    <t>FTP_SERVER_REMOTE_PATH</t>
  </si>
  <si>
    <t>COPY_SERVER_REMOTE_PATH</t>
  </si>
  <si>
    <t>APPHOST\:APPPORT</t>
  </si>
  <si>
    <t>172.17.140.7:8085</t>
  </si>
  <si>
    <t>EFTHOST\:EFTPORT</t>
  </si>
  <si>
    <t>172.17.140.13:8093</t>
  </si>
  <si>
    <t>MONITORSERVICEURL</t>
  </si>
  <si>
    <t>http://172.17.140.7:8183/jbeamicd?wsdl</t>
  </si>
  <si>
    <t>JBEAMDAYBATCHXMLPATH</t>
  </si>
  <si>
    <t>Meghna--New XML--For RunBatch_JBEAM_DAY</t>
  </si>
  <si>
    <t>JBEAM_DAY_BATCH_XMLPATH</t>
  </si>
  <si>
    <t>Meghna--RunBatch_JBEAM_DAY--Added this in Env sheet</t>
  </si>
  <si>
    <t>JBEAM_NIGHT_BATCH_XMLPATH</t>
  </si>
  <si>
    <t>Meghna--Copy of Existing XML--For RunBatch_JBEAM_NIGHT--Added this in Env sheet</t>
  </si>
  <si>
    <t>INSTALLATION_CODE</t>
  </si>
  <si>
    <t>JBM80_8181</t>
  </si>
  <si>
    <t>RECOVERY_SCENARIO</t>
  </si>
  <si>
    <t>JBEAMDAYBATCHINPUT</t>
  </si>
  <si>
    <t>WEBSERVICE_ERRORLOG_FILEPATH</t>
  </si>
  <si>
    <t>APPLICATION_USER_ID</t>
  </si>
  <si>
    <t>billsuper1</t>
  </si>
  <si>
    <t>APPLICATION_PASSWORD</t>
  </si>
  <si>
    <t>icd123</t>
  </si>
  <si>
    <t>WEBSERVICE_COMPARISION</t>
  </si>
  <si>
    <t>WEBSERVICE_COMPARISION_UTILITYPATH</t>
  </si>
  <si>
    <t>BACKUP_FILEPATH</t>
  </si>
  <si>
    <t>EXECUTION_STATUS_REPORT_UTILITY</t>
  </si>
  <si>
    <t>JBEAM_USERID</t>
  </si>
  <si>
    <t>csr2</t>
  </si>
  <si>
    <t>Mandar/To  avoid hardcoded jbeam acess…</t>
  </si>
  <si>
    <t>JBEAM_PASSWORD</t>
  </si>
  <si>
    <t>Mandar/To  avoid hardcoded jbeam acess</t>
  </si>
  <si>
    <t>JBEAM_VERSION</t>
  </si>
  <si>
    <t>FLATFILE_HOSTNAME</t>
  </si>
  <si>
    <t>FLATFILE_USERNAME</t>
  </si>
  <si>
    <t>jboss</t>
  </si>
  <si>
    <t>FLATFILE_PASSWORD</t>
  </si>
  <si>
    <t>FLATFILE_PORT</t>
  </si>
  <si>
    <t>APPLY_STATIC_WAIT</t>
  </si>
  <si>
    <t xml:space="preserve">
Meghna -- Added this to skip static wait given in Structure sheet
True - Wait time given in structure sheet will be applied
False - Wait time given in structure will not be applied
</t>
  </si>
  <si>
    <t>POLICY_UNIQUE_NUMBER_PATH</t>
  </si>
  <si>
    <t>SUITE_DATA_PATH</t>
  </si>
  <si>
    <t>SUITE_TESTING</t>
  </si>
  <si>
    <t>ENVIRONMENT_TYPE</t>
  </si>
  <si>
    <t>Linux</t>
  </si>
  <si>
    <t>SECURED_JDBC_CONNECTION</t>
  </si>
  <si>
    <t>Path</t>
  </si>
  <si>
    <t>Variable</t>
  </si>
  <si>
    <t>CurrentStatus</t>
  </si>
  <si>
    <t>${host:port}</t>
  </si>
  <si>
    <t>Updated on 3/25/2026 12:53:49 PM</t>
  </si>
  <si>
    <t>${efthost:eftport}</t>
  </si>
  <si>
    <t>Updated on 3/25/2026 12:53:55 PM</t>
  </si>
  <si>
    <t>${host:jbeam.server}</t>
  </si>
  <si>
    <t>Updated on 3/25/2026 12:53:58 PM</t>
  </si>
  <si>
    <t>${environment}</t>
  </si>
  <si>
    <t>MsEdge</t>
  </si>
  <si>
    <t>C:\Users\apurva\Workspace\AutomationPacks\INPUT_STRUCTURE\</t>
  </si>
  <si>
    <t>https://aibuddy-app.tatacapital.com/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</si>
</sst>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x14ac:knownFonts="1">
    <font>
      <sz val="11"/>
      <color indexed="8"/>
      <name val="Calibri"/>
      <family val="2"/>
    </font>
    <font>
      <b/>
      <sz val="10"/>
      <color indexed="8"/>
      <name val="Calibri"/>
    </font>
    <font>
      <sz val="10"/>
      <color indexed="8"/>
      <name val="Calibri"/>
      <scheme val="minor"/>
    </font>
    <font>
      <sz val="10"/>
      <color theme="1"/>
      <name val="Calibri"/>
    </font>
    <font>
      <sz val="10"/>
      <color indexed="8"/>
      <name val="Calibri"/>
    </font>
    <font>
      <u/>
      <sz val="11"/>
      <color indexed="12"/>
      <name val="Calibri"/>
    </font>
    <font>
      <sz val="10"/>
      <color indexed="8"/>
      <name val="Segoe UI"/>
    </font>
    <font>
      <b/>
      <sz val="10"/>
      <color theme="1"/>
      <name val="Calibri"/>
    </font>
    <font>
      <sz val="10"/>
      <color theme="0"/>
      <name val="Calibri"/>
      <scheme val="minor"/>
    </font>
    <font>
      <b/>
      <sz val="10"/>
      <color indexed="8"/>
      <name val="Calibri"/>
      <scheme val="minor"/>
    </font>
    <font>
      <sz val="11"/>
      <color theme="0"/>
      <name val="Calibri"/>
    </font>
    <font>
      <b/>
      <sz val="10"/>
      <color rgb="FFA50021"/>
      <name val="Calibri"/>
      <scheme val="minor"/>
    </font>
    <font>
      <sz val="10"/>
      <color theme="0"/>
      <name val="Segoe UI"/>
    </font>
    <font>
      <sz val="10"/>
      <color rgb="FFA50021"/>
      <name val="Calibri"/>
    </font>
    <font>
      <sz val="10.5"/>
      <color rgb="FF444444"/>
      <name val="Calibri"/>
    </font>
    <font>
      <sz val="10"/>
      <color rgb="FFFF0000"/>
      <name val="Calibri"/>
    </font>
    <font>
      <sz val="10"/>
      <name val="Calibri"/>
    </font>
    <font>
      <sz val="10"/>
      <color theme="0"/>
      <name val="Calibri"/>
    </font>
    <font>
      <b/>
      <sz val="10"/>
      <color rgb="FFA50021"/>
      <name val="Calibri"/>
    </font>
    <font>
      <sz val="11"/>
      <color rgb="FF1F497D"/>
      <name val="Calibri"/>
    </font>
    <font>
      <u/>
      <sz val="11"/>
      <color theme="10"/>
      <name val="Calibri"/>
    </font>
    <font>
      <sz val="11"/>
      <color theme="1"/>
      <name val="Calibri"/>
      <scheme val="minor"/>
    </font>
    <font>
      <sz val="11"/>
      <color indexed="9"/>
      <name val="Calibri"/>
    </font>
    <font>
      <sz val="11"/>
      <color indexed="20"/>
      <name val="Calibri"/>
    </font>
    <font>
      <b/>
      <sz val="11"/>
      <color indexed="52"/>
      <name val="Calibri"/>
    </font>
    <font>
      <b/>
      <sz val="11"/>
      <color indexed="9"/>
      <name val="Calibri"/>
    </font>
    <font>
      <i/>
      <sz val="11"/>
      <color indexed="23"/>
      <name val="Calibri"/>
    </font>
    <font>
      <sz val="11"/>
      <color indexed="17"/>
      <name val="Calibri"/>
    </font>
    <font>
      <b/>
      <sz val="15"/>
      <color indexed="56"/>
      <name val="Calibri"/>
    </font>
    <font>
      <b/>
      <sz val="13"/>
      <color indexed="56"/>
      <name val="Calibri"/>
    </font>
    <font>
      <b/>
      <sz val="11"/>
      <color indexed="56"/>
      <name val="Calibri"/>
    </font>
    <font>
      <sz val="11"/>
      <color indexed="62"/>
      <name val="Calibri"/>
    </font>
    <font>
      <sz val="11"/>
      <color indexed="52"/>
      <name val="Calibri"/>
    </font>
    <font>
      <sz val="11"/>
      <color indexed="60"/>
      <name val="Calibri"/>
    </font>
    <font>
      <b/>
      <sz val="11"/>
      <color indexed="63"/>
      <name val="Calibri"/>
    </font>
    <font>
      <b/>
      <sz val="18"/>
      <color indexed="56"/>
      <name val="Cambria"/>
      <family val="1"/>
    </font>
    <font>
      <b/>
      <sz val="11"/>
      <color indexed="8"/>
      <name val="Calibri"/>
    </font>
    <font>
      <sz val="11"/>
      <color indexed="10"/>
      <name val="Calibri"/>
    </font>
    <font>
      <sz val="11"/>
      <color indexed="8"/>
      <name val="Calibri"/>
      <family val="2"/>
    </font>
    <font>
      <sz val="11"/>
      <color rgb="FF000000"/>
      <name val="Calibri"/>
      <family val="2"/>
    </font>
    <font>
      <b/>
      <sz val="10"/>
      <color indexed="8"/>
      <name val="Calibri"/>
      <family val="2"/>
    </font>
  </fonts>
  <fills count="32">
    <fill>
      <patternFill patternType="none"/>
    </fill>
    <fill>
      <patternFill patternType="gray125"/>
    </fill>
    <fill>
      <patternFill patternType="solid">
        <fgColor rgb="FFFFFF00"/>
        <bgColor indexed="64"/>
      </patternFill>
    </fill>
    <fill>
      <patternFill patternType="solid">
        <fgColor rgb="FF0070C0"/>
        <bgColor indexed="64"/>
      </patternFill>
    </fill>
    <fill>
      <patternFill patternType="solid">
        <fgColor theme="9" tint="-0.249977111117893"/>
        <bgColor indexed="64"/>
      </patternFill>
    </fill>
    <fill>
      <patternFill patternType="solid">
        <fgColor rgb="FFFF0000"/>
        <bgColor indexed="64"/>
      </patternFill>
    </fill>
    <fill>
      <patternFill patternType="solid">
        <fgColor theme="0"/>
        <bgColor indexed="64"/>
      </patternFill>
    </fill>
    <fill>
      <patternFill patternType="solid">
        <fgColor theme="6" tint="0.39994506668294322"/>
        <bgColor indexed="64"/>
      </patternFill>
    </fill>
    <fill>
      <patternFill patternType="solid">
        <fgColor theme="0" tint="-0.14996795556505021"/>
        <bgColor indexed="64"/>
      </patternFill>
    </fill>
    <fill>
      <patternFill patternType="solid">
        <fgColor theme="4" tint="0.59999389629810485"/>
        <bgColor indexed="64"/>
      </patternFill>
    </fill>
    <fill>
      <patternFill patternType="solid">
        <fgColor indexed="31"/>
        <bgColor indexed="64"/>
      </patternFill>
    </fill>
    <fill>
      <patternFill patternType="solid">
        <fgColor indexed="45"/>
        <bgColor indexed="64"/>
      </patternFill>
    </fill>
    <fill>
      <patternFill patternType="solid">
        <fgColor indexed="42"/>
        <bgColor indexed="64"/>
      </patternFill>
    </fill>
    <fill>
      <patternFill patternType="solid">
        <fgColor indexed="46"/>
        <bgColor indexed="64"/>
      </patternFill>
    </fill>
    <fill>
      <patternFill patternType="solid">
        <fgColor indexed="27"/>
        <bgColor indexed="64"/>
      </patternFill>
    </fill>
    <fill>
      <patternFill patternType="solid">
        <fgColor indexed="47"/>
        <bgColor indexed="64"/>
      </patternFill>
    </fill>
    <fill>
      <patternFill patternType="solid">
        <fgColor indexed="44"/>
        <bgColor indexed="64"/>
      </patternFill>
    </fill>
    <fill>
      <patternFill patternType="solid">
        <fgColor indexed="29"/>
        <bgColor indexed="64"/>
      </patternFill>
    </fill>
    <fill>
      <patternFill patternType="solid">
        <fgColor indexed="11"/>
        <bgColor indexed="64"/>
      </patternFill>
    </fill>
    <fill>
      <patternFill patternType="solid">
        <fgColor indexed="51"/>
        <bgColor indexed="64"/>
      </patternFill>
    </fill>
    <fill>
      <patternFill patternType="solid">
        <fgColor indexed="30"/>
        <bgColor indexed="64"/>
      </patternFill>
    </fill>
    <fill>
      <patternFill patternType="solid">
        <fgColor indexed="36"/>
        <bgColor indexed="64"/>
      </patternFill>
    </fill>
    <fill>
      <patternFill patternType="solid">
        <fgColor indexed="49"/>
        <bgColor indexed="64"/>
      </patternFill>
    </fill>
    <fill>
      <patternFill patternType="solid">
        <fgColor indexed="52"/>
        <bgColor indexed="64"/>
      </patternFill>
    </fill>
    <fill>
      <patternFill patternType="solid">
        <fgColor indexed="62"/>
        <bgColor indexed="64"/>
      </patternFill>
    </fill>
    <fill>
      <patternFill patternType="solid">
        <fgColor indexed="10"/>
        <bgColor indexed="64"/>
      </patternFill>
    </fill>
    <fill>
      <patternFill patternType="solid">
        <fgColor indexed="57"/>
        <bgColor indexed="64"/>
      </patternFill>
    </fill>
    <fill>
      <patternFill patternType="solid">
        <fgColor indexed="53"/>
        <bgColor indexed="64"/>
      </patternFill>
    </fill>
    <fill>
      <patternFill patternType="solid">
        <fgColor indexed="22"/>
        <bgColor indexed="64"/>
      </patternFill>
    </fill>
    <fill>
      <patternFill patternType="solid">
        <fgColor indexed="55"/>
        <bgColor indexed="64"/>
      </patternFill>
    </fill>
    <fill>
      <patternFill patternType="solid">
        <fgColor indexed="43"/>
        <bgColor indexed="64"/>
      </patternFill>
    </fill>
    <fill>
      <patternFill patternType="solid">
        <fgColor indexed="26"/>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549">
    <xf numFmtId="0" fontId="0" fillId="0" borderId="0"/>
    <xf numFmtId="0" fontId="5" fillId="0" borderId="0" applyNumberFormat="0" applyFill="0" applyBorder="0" applyAlignment="0" applyProtection="0">
      <alignment vertical="top"/>
      <protection locked="0"/>
    </xf>
    <xf numFmtId="0" fontId="38" fillId="0" borderId="0"/>
    <xf numFmtId="0" fontId="20" fillId="0" borderId="0" applyNumberFormat="0" applyFill="0" applyBorder="0" applyAlignment="0" applyProtection="0">
      <alignment vertical="top"/>
      <protection locked="0"/>
    </xf>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38" fillId="10" borderId="0" applyNumberFormat="0" applyBorder="0" applyAlignment="0" applyProtection="0"/>
    <xf numFmtId="0" fontId="38" fillId="11" borderId="0" applyNumberFormat="0" applyBorder="0" applyAlignment="0" applyProtection="0"/>
    <xf numFmtId="0" fontId="38" fillId="12" borderId="0" applyNumberFormat="0" applyBorder="0" applyAlignment="0" applyProtection="0"/>
    <xf numFmtId="0" fontId="38" fillId="13" borderId="0" applyNumberFormat="0" applyBorder="0" applyAlignment="0" applyProtection="0"/>
    <xf numFmtId="0" fontId="38" fillId="14" borderId="0" applyNumberFormat="0" applyBorder="0" applyAlignment="0" applyProtection="0"/>
    <xf numFmtId="0" fontId="38" fillId="15" borderId="0" applyNumberFormat="0" applyBorder="0" applyAlignment="0" applyProtection="0"/>
    <xf numFmtId="0" fontId="38" fillId="16" borderId="0" applyNumberFormat="0" applyBorder="0" applyAlignment="0" applyProtection="0"/>
    <xf numFmtId="0" fontId="38" fillId="17" borderId="0" applyNumberFormat="0" applyBorder="0" applyAlignment="0" applyProtection="0"/>
    <xf numFmtId="0" fontId="38" fillId="18" borderId="0" applyNumberFormat="0" applyBorder="0" applyAlignment="0" applyProtection="0"/>
    <xf numFmtId="0" fontId="38" fillId="13" borderId="0" applyNumberFormat="0" applyBorder="0" applyAlignment="0" applyProtection="0"/>
    <xf numFmtId="0" fontId="38" fillId="16" borderId="0" applyNumberFormat="0" applyBorder="0" applyAlignment="0" applyProtection="0"/>
    <xf numFmtId="0" fontId="38" fillId="19" borderId="0" applyNumberFormat="0" applyBorder="0" applyAlignment="0" applyProtection="0"/>
    <xf numFmtId="0" fontId="22" fillId="20" borderId="0" applyNumberFormat="0" applyBorder="0" applyAlignment="0" applyProtection="0"/>
    <xf numFmtId="0" fontId="22" fillId="17" borderId="0" applyNumberFormat="0" applyBorder="0" applyAlignment="0" applyProtection="0"/>
    <xf numFmtId="0" fontId="22" fillId="18" borderId="0" applyNumberFormat="0" applyBorder="0" applyAlignment="0" applyProtection="0"/>
    <xf numFmtId="0" fontId="22" fillId="21" borderId="0" applyNumberFormat="0" applyBorder="0" applyAlignment="0" applyProtection="0"/>
    <xf numFmtId="0" fontId="22" fillId="22" borderId="0" applyNumberFormat="0" applyBorder="0" applyAlignment="0" applyProtection="0"/>
    <xf numFmtId="0" fontId="22" fillId="23" borderId="0" applyNumberFormat="0" applyBorder="0" applyAlignment="0" applyProtection="0"/>
    <xf numFmtId="0" fontId="22" fillId="24" borderId="0" applyNumberFormat="0" applyBorder="0" applyAlignment="0" applyProtection="0"/>
    <xf numFmtId="0" fontId="22" fillId="25" borderId="0" applyNumberFormat="0" applyBorder="0" applyAlignment="0" applyProtection="0"/>
    <xf numFmtId="0" fontId="22" fillId="26" borderId="0" applyNumberFormat="0" applyBorder="0" applyAlignment="0" applyProtection="0"/>
    <xf numFmtId="0" fontId="22" fillId="21" borderId="0" applyNumberFormat="0" applyBorder="0" applyAlignment="0" applyProtection="0"/>
    <xf numFmtId="0" fontId="22" fillId="22" borderId="0" applyNumberFormat="0" applyBorder="0" applyAlignment="0" applyProtection="0"/>
    <xf numFmtId="0" fontId="22" fillId="27" borderId="0" applyNumberFormat="0" applyBorder="0" applyAlignment="0" applyProtection="0"/>
    <xf numFmtId="0" fontId="23" fillId="11" borderId="0" applyNumberFormat="0" applyBorder="0" applyAlignment="0" applyProtection="0"/>
    <xf numFmtId="0" fontId="24" fillId="28" borderId="2" applyNumberFormat="0" applyAlignment="0" applyProtection="0"/>
    <xf numFmtId="0" fontId="25" fillId="29" borderId="3" applyNumberFormat="0" applyAlignment="0" applyProtection="0"/>
    <xf numFmtId="0" fontId="26" fillId="0" borderId="0" applyNumberFormat="0" applyFill="0" applyBorder="0" applyAlignment="0" applyProtection="0"/>
    <xf numFmtId="0" fontId="27" fillId="12" borderId="0" applyNumberFormat="0" applyBorder="0" applyAlignment="0" applyProtection="0"/>
    <xf numFmtId="0" fontId="28" fillId="0" borderId="4" applyNumberFormat="0" applyFill="0" applyAlignment="0" applyProtection="0"/>
    <xf numFmtId="0" fontId="29" fillId="0" borderId="5" applyNumberFormat="0" applyFill="0" applyAlignment="0" applyProtection="0"/>
    <xf numFmtId="0" fontId="30" fillId="0" borderId="6" applyNumberFormat="0" applyFill="0" applyAlignment="0" applyProtection="0"/>
    <xf numFmtId="0" fontId="30" fillId="0" borderId="0" applyNumberFormat="0" applyFill="0" applyBorder="0" applyAlignment="0" applyProtection="0"/>
    <xf numFmtId="0" fontId="31" fillId="15" borderId="2" applyNumberFormat="0" applyAlignment="0" applyProtection="0"/>
    <xf numFmtId="0" fontId="32" fillId="0" borderId="7" applyNumberFormat="0" applyFill="0" applyAlignment="0" applyProtection="0"/>
    <xf numFmtId="0" fontId="33" fillId="30" borderId="0" applyNumberFormat="0" applyBorder="0" applyAlignment="0" applyProtection="0"/>
    <xf numFmtId="0" fontId="38" fillId="31" borderId="8" applyNumberFormat="0" applyFont="0" applyAlignment="0" applyProtection="0"/>
    <xf numFmtId="0" fontId="34" fillId="28" borderId="9" applyNumberFormat="0" applyAlignment="0" applyProtection="0"/>
    <xf numFmtId="0" fontId="35" fillId="0" borderId="0" applyNumberFormat="0" applyFill="0" applyBorder="0" applyAlignment="0" applyProtection="0"/>
    <xf numFmtId="0" fontId="36" fillId="0" borderId="10" applyNumberFormat="0" applyFill="0" applyAlignment="0" applyProtection="0"/>
    <xf numFmtId="0" fontId="37" fillId="0" borderId="0" applyNumberFormat="0" applyFill="0" applyBorder="0" applyAlignment="0" applyProtection="0"/>
  </cellStyleXfs>
  <cellXfs count="59">
    <xf numFmtId="0" fontId="0" fillId="0" borderId="0" xfId="0"/>
    <xf numFmtId="0" fontId="1" fillId="0" borderId="0" xfId="0" applyFont="1"/>
    <xf numFmtId="0" fontId="2" fillId="0" borderId="0" xfId="0" applyFont="1" applyAlignment="1">
      <alignment vertical="top"/>
    </xf>
    <xf numFmtId="0" fontId="3" fillId="0" borderId="0" xfId="0" applyFont="1"/>
    <xf numFmtId="0" fontId="4" fillId="0" borderId="0" xfId="0" applyFont="1"/>
    <xf numFmtId="0" fontId="4" fillId="0" borderId="0" xfId="0" applyFont="1" applyAlignment="1">
      <alignment horizontal="left"/>
    </xf>
    <xf numFmtId="0" fontId="1" fillId="0" borderId="1" xfId="0" applyFont="1" applyBorder="1"/>
    <xf numFmtId="0" fontId="4" fillId="0" borderId="1" xfId="0" applyFont="1" applyBorder="1"/>
    <xf numFmtId="0" fontId="4" fillId="0" borderId="1" xfId="0" applyFont="1" applyBorder="1" applyAlignment="1">
      <alignment horizontal="left"/>
    </xf>
    <xf numFmtId="0" fontId="5" fillId="0" borderId="1" xfId="1" applyBorder="1" applyAlignment="1" applyProtection="1">
      <alignment horizontal="left" vertical="top"/>
    </xf>
    <xf numFmtId="0" fontId="5" fillId="0" borderId="0" xfId="1" applyFill="1" applyAlignment="1" applyProtection="1">
      <alignment vertical="center"/>
    </xf>
    <xf numFmtId="1" fontId="4" fillId="0" borderId="1" xfId="0" applyNumberFormat="1" applyFont="1" applyBorder="1" applyAlignment="1">
      <alignment horizontal="left" vertical="top"/>
    </xf>
    <xf numFmtId="0" fontId="5" fillId="0" borderId="1" xfId="1" applyFill="1" applyBorder="1" applyAlignment="1" applyProtection="1">
      <alignment horizontal="left"/>
    </xf>
    <xf numFmtId="0" fontId="6" fillId="0" borderId="0" xfId="0" applyFont="1" applyAlignment="1">
      <alignment vertical="center"/>
    </xf>
    <xf numFmtId="0" fontId="7" fillId="2" borderId="1" xfId="2" applyFont="1" applyFill="1" applyBorder="1"/>
    <xf numFmtId="0" fontId="3" fillId="0" borderId="0" xfId="2" applyFont="1"/>
    <xf numFmtId="0" fontId="4" fillId="2" borderId="1" xfId="0" applyFont="1" applyFill="1" applyBorder="1"/>
    <xf numFmtId="0" fontId="5" fillId="0" borderId="1" xfId="1" applyFill="1" applyBorder="1" applyAlignment="1" applyProtection="1"/>
    <xf numFmtId="0" fontId="2" fillId="0" borderId="1" xfId="0" applyFont="1" applyBorder="1" applyAlignment="1">
      <alignment vertical="top"/>
    </xf>
    <xf numFmtId="1" fontId="8" fillId="3" borderId="1" xfId="0" applyNumberFormat="1" applyFont="1" applyFill="1" applyBorder="1" applyAlignment="1">
      <alignment horizontal="left" vertical="top"/>
    </xf>
    <xf numFmtId="0" fontId="9" fillId="0" borderId="0" xfId="0" applyFont="1" applyAlignment="1">
      <alignment vertical="top"/>
    </xf>
    <xf numFmtId="0" fontId="10" fillId="3" borderId="1" xfId="0" applyFont="1" applyFill="1" applyBorder="1"/>
    <xf numFmtId="0" fontId="11" fillId="0" borderId="0" xfId="0" applyFont="1" applyAlignment="1">
      <alignment vertical="top"/>
    </xf>
    <xf numFmtId="0" fontId="4" fillId="4" borderId="1" xfId="0" applyFont="1" applyFill="1" applyBorder="1"/>
    <xf numFmtId="0" fontId="12" fillId="3" borderId="1" xfId="0" applyFont="1" applyFill="1" applyBorder="1"/>
    <xf numFmtId="0" fontId="13" fillId="0" borderId="0" xfId="0" applyFont="1"/>
    <xf numFmtId="0" fontId="14" fillId="0" borderId="0" xfId="0" applyFont="1"/>
    <xf numFmtId="0" fontId="10" fillId="3" borderId="1" xfId="0" applyFont="1" applyFill="1" applyBorder="1" applyAlignment="1">
      <alignment vertical="center"/>
    </xf>
    <xf numFmtId="0" fontId="10" fillId="3" borderId="1" xfId="0" applyFont="1" applyFill="1" applyBorder="1" applyAlignment="1">
      <alignment horizontal="left"/>
    </xf>
    <xf numFmtId="0" fontId="15" fillId="0" borderId="1" xfId="0" applyFont="1" applyBorder="1"/>
    <xf numFmtId="0" fontId="10" fillId="5" borderId="1" xfId="0" applyFont="1" applyFill="1" applyBorder="1" applyAlignment="1">
      <alignment vertical="center"/>
    </xf>
    <xf numFmtId="0" fontId="16" fillId="4" borderId="1" xfId="0" applyFont="1" applyFill="1" applyBorder="1"/>
    <xf numFmtId="0" fontId="10" fillId="6" borderId="1" xfId="0" applyFont="1" applyFill="1" applyBorder="1" applyAlignment="1">
      <alignment vertical="center"/>
    </xf>
    <xf numFmtId="0" fontId="16" fillId="0" borderId="1" xfId="0" applyFont="1" applyBorder="1"/>
    <xf numFmtId="0" fontId="17" fillId="5" borderId="1" xfId="0" applyFont="1" applyFill="1" applyBorder="1" applyAlignment="1">
      <alignment horizontal="left"/>
    </xf>
    <xf numFmtId="0" fontId="5" fillId="2" borderId="1" xfId="1" applyFill="1" applyBorder="1" applyAlignment="1" applyProtection="1">
      <alignment vertical="center"/>
    </xf>
    <xf numFmtId="0" fontId="18" fillId="0" borderId="0" xfId="0" applyFont="1"/>
    <xf numFmtId="0" fontId="7" fillId="0" borderId="1" xfId="2" applyFont="1" applyBorder="1"/>
    <xf numFmtId="0" fontId="3" fillId="0" borderId="1" xfId="2" applyFont="1" applyBorder="1" applyAlignment="1">
      <alignment horizontal="left"/>
    </xf>
    <xf numFmtId="0" fontId="13" fillId="0" borderId="0" xfId="2" applyFont="1" applyAlignment="1">
      <alignment wrapText="1"/>
    </xf>
    <xf numFmtId="0" fontId="17" fillId="5" borderId="1" xfId="0" applyFont="1" applyFill="1" applyBorder="1"/>
    <xf numFmtId="0" fontId="3" fillId="0" borderId="1" xfId="0" applyFont="1" applyBorder="1"/>
    <xf numFmtId="0" fontId="3" fillId="0" borderId="1" xfId="0" applyFont="1" applyBorder="1" applyAlignment="1">
      <alignment horizontal="left"/>
    </xf>
    <xf numFmtId="0" fontId="3" fillId="0" borderId="1" xfId="2" applyFont="1" applyBorder="1"/>
    <xf numFmtId="0" fontId="17" fillId="3" borderId="1" xfId="0" applyFont="1" applyFill="1" applyBorder="1" applyAlignment="1">
      <alignment horizontal="left"/>
    </xf>
    <xf numFmtId="0" fontId="4" fillId="0" borderId="1" xfId="2" applyFont="1" applyBorder="1"/>
    <xf numFmtId="0" fontId="4" fillId="0" borderId="1" xfId="2" applyFont="1" applyBorder="1" applyAlignment="1">
      <alignment horizontal="left"/>
    </xf>
    <xf numFmtId="0" fontId="19" fillId="0" borderId="1" xfId="2" applyFont="1" applyBorder="1"/>
    <xf numFmtId="0" fontId="38" fillId="0" borderId="0" xfId="2"/>
    <xf numFmtId="0" fontId="4" fillId="0" borderId="0" xfId="2" applyFont="1" applyAlignment="1">
      <alignment wrapText="1"/>
    </xf>
    <xf numFmtId="0" fontId="4" fillId="0" borderId="0" xfId="2" applyFont="1"/>
    <xf numFmtId="0" fontId="4" fillId="7" borderId="0" xfId="0" applyFont="1" applyFill="1"/>
    <xf numFmtId="0" fontId="1" fillId="8" borderId="1" xfId="0" applyFont="1" applyFill="1" applyBorder="1"/>
    <xf numFmtId="0" fontId="1" fillId="8" borderId="1" xfId="0" applyFont="1" applyFill="1" applyBorder="1" applyAlignment="1">
      <alignment horizontal="left"/>
    </xf>
    <xf numFmtId="0" fontId="4" fillId="7" borderId="1" xfId="0" applyFont="1" applyFill="1" applyBorder="1"/>
    <xf numFmtId="0" fontId="4" fillId="7" borderId="1" xfId="0" applyFont="1" applyFill="1" applyBorder="1" applyAlignment="1">
      <alignment horizontal="left"/>
    </xf>
    <xf numFmtId="0" fontId="15" fillId="9" borderId="1" xfId="0" applyFont="1" applyFill="1" applyBorder="1"/>
    <xf numFmtId="0" fontId="15" fillId="9" borderId="1" xfId="0" applyFont="1" applyFill="1" applyBorder="1" applyAlignment="1">
      <alignment horizontal="left"/>
    </xf>
    <xf numFmtId="0" fontId="40" fillId="0" borderId="1" xfId="0" applyFont="1" applyBorder="1" applyAlignment="1">
      <alignment horizontal="left"/>
    </xf>
  </cellXfs>
  <cellStyles count="549">
    <cellStyle name="20% - Accent1" xfId="508" builtinId="30" customBuiltin="1"/>
    <cellStyle name="20% - Accent2" xfId="509" builtinId="34" customBuiltin="1"/>
    <cellStyle name="20% - Accent3" xfId="510" builtinId="38" customBuiltin="1"/>
    <cellStyle name="20% - Accent4" xfId="511" builtinId="42" customBuiltin="1"/>
    <cellStyle name="20% - Accent5" xfId="512" builtinId="46" customBuiltin="1"/>
    <cellStyle name="20% - Accent6" xfId="513" builtinId="50" customBuiltin="1"/>
    <cellStyle name="40% - Accent1" xfId="514" builtinId="31" customBuiltin="1"/>
    <cellStyle name="40% - Accent2" xfId="515" builtinId="35" customBuiltin="1"/>
    <cellStyle name="40% - Accent3" xfId="516" builtinId="39" customBuiltin="1"/>
    <cellStyle name="40% - Accent4" xfId="517" builtinId="43" customBuiltin="1"/>
    <cellStyle name="40% - Accent5" xfId="518" builtinId="47" customBuiltin="1"/>
    <cellStyle name="40% - Accent6" xfId="519" builtinId="51" customBuiltin="1"/>
    <cellStyle name="60% - Accent1" xfId="520" builtinId="32" customBuiltin="1"/>
    <cellStyle name="60% - Accent2" xfId="521" builtinId="36" customBuiltin="1"/>
    <cellStyle name="60% - Accent3" xfId="522" builtinId="40" customBuiltin="1"/>
    <cellStyle name="60% - Accent4" xfId="523" builtinId="44" customBuiltin="1"/>
    <cellStyle name="60% - Accent5" xfId="524" builtinId="48" customBuiltin="1"/>
    <cellStyle name="60% - Accent6" xfId="525" builtinId="52" customBuiltin="1"/>
    <cellStyle name="Accent1" xfId="526" builtinId="29" customBuiltin="1"/>
    <cellStyle name="Accent2" xfId="527" builtinId="33" customBuiltin="1"/>
    <cellStyle name="Accent3" xfId="528" builtinId="37" customBuiltin="1"/>
    <cellStyle name="Accent4" xfId="529" builtinId="41" customBuiltin="1"/>
    <cellStyle name="Accent5" xfId="530" builtinId="45" customBuiltin="1"/>
    <cellStyle name="Accent6" xfId="531" builtinId="49" customBuiltin="1"/>
    <cellStyle name="Bad" xfId="532" builtinId="27" customBuiltin="1"/>
    <cellStyle name="Calculation" xfId="533" builtinId="22" customBuiltin="1"/>
    <cellStyle name="Check Cell" xfId="534" builtinId="23" customBuiltin="1"/>
    <cellStyle name="Explanatory Text" xfId="535" builtinId="53" customBuiltin="1"/>
    <cellStyle name="Good" xfId="536" builtinId="26" customBuiltin="1"/>
    <cellStyle name="Heading 1" xfId="537" builtinId="16" customBuiltin="1"/>
    <cellStyle name="Heading 2" xfId="538" builtinId="17" customBuiltin="1"/>
    <cellStyle name="Heading 3" xfId="539" builtinId="18" customBuiltin="1"/>
    <cellStyle name="Heading 4" xfId="540" builtinId="19" customBuiltin="1"/>
    <cellStyle name="Hyperlink" xfId="1" builtinId="8"/>
    <cellStyle name="Hyperlink 2" xfId="3" xr:uid="{00000000-0005-0000-0000-000003000000}"/>
    <cellStyle name="Input" xfId="541" builtinId="20" customBuiltin="1"/>
    <cellStyle name="Linked Cell" xfId="542" builtinId="24" customBuiltin="1"/>
    <cellStyle name="Neutral" xfId="543" builtinId="28" customBuiltin="1"/>
    <cellStyle name="Normal" xfId="0" builtinId="0"/>
    <cellStyle name="Normal 2" xfId="2" xr:uid="{00000000-0005-0000-0000-000002000000}"/>
    <cellStyle name="Normal 3" xfId="4" xr:uid="{00000000-0005-0000-0000-000004000000}"/>
    <cellStyle name="Normal 3 10" xfId="5" xr:uid="{00000000-0005-0000-0000-000005000000}"/>
    <cellStyle name="Normal 3 11" xfId="6" xr:uid="{00000000-0005-0000-0000-000006000000}"/>
    <cellStyle name="Normal 3 12" xfId="7" xr:uid="{00000000-0005-0000-0000-000007000000}"/>
    <cellStyle name="Normal 3 13" xfId="8" xr:uid="{00000000-0005-0000-0000-000008000000}"/>
    <cellStyle name="Normal 3 2" xfId="9" xr:uid="{00000000-0005-0000-0000-000009000000}"/>
    <cellStyle name="Normal 3 2 10" xfId="10" xr:uid="{00000000-0005-0000-0000-00000A000000}"/>
    <cellStyle name="Normal 3 2 11" xfId="11" xr:uid="{00000000-0005-0000-0000-00000B000000}"/>
    <cellStyle name="Normal 3 2 2" xfId="12" xr:uid="{00000000-0005-0000-0000-00000C000000}"/>
    <cellStyle name="Normal 3 2 2 2" xfId="13" xr:uid="{00000000-0005-0000-0000-00000D000000}"/>
    <cellStyle name="Normal 3 2 2 2 2" xfId="14" xr:uid="{00000000-0005-0000-0000-00000E000000}"/>
    <cellStyle name="Normal 3 2 2 2 2 2" xfId="15" xr:uid="{00000000-0005-0000-0000-00000F000000}"/>
    <cellStyle name="Normal 3 2 2 2 2 2 2" xfId="16" xr:uid="{00000000-0005-0000-0000-000010000000}"/>
    <cellStyle name="Normal 3 2 2 2 2 3" xfId="17" xr:uid="{00000000-0005-0000-0000-000011000000}"/>
    <cellStyle name="Normal 3 2 2 2 2 4" xfId="18" xr:uid="{00000000-0005-0000-0000-000012000000}"/>
    <cellStyle name="Normal 3 2 2 2 2 5" xfId="19" xr:uid="{00000000-0005-0000-0000-000013000000}"/>
    <cellStyle name="Normal 3 2 2 2 3" xfId="20" xr:uid="{00000000-0005-0000-0000-000014000000}"/>
    <cellStyle name="Normal 3 2 2 2 3 2" xfId="21" xr:uid="{00000000-0005-0000-0000-000015000000}"/>
    <cellStyle name="Normal 3 2 2 2 4" xfId="22" xr:uid="{00000000-0005-0000-0000-000016000000}"/>
    <cellStyle name="Normal 3 2 2 2 5" xfId="23" xr:uid="{00000000-0005-0000-0000-000017000000}"/>
    <cellStyle name="Normal 3 2 2 2 6" xfId="24" xr:uid="{00000000-0005-0000-0000-000018000000}"/>
    <cellStyle name="Normal 3 2 2 2 7" xfId="25" xr:uid="{00000000-0005-0000-0000-000019000000}"/>
    <cellStyle name="Normal 3 2 2 3" xfId="26" xr:uid="{00000000-0005-0000-0000-00001A000000}"/>
    <cellStyle name="Normal 3 2 2 3 2" xfId="27" xr:uid="{00000000-0005-0000-0000-00001B000000}"/>
    <cellStyle name="Normal 3 2 2 3 2 2" xfId="28" xr:uid="{00000000-0005-0000-0000-00001C000000}"/>
    <cellStyle name="Normal 3 2 2 3 2 3" xfId="29" xr:uid="{00000000-0005-0000-0000-00001D000000}"/>
    <cellStyle name="Normal 3 2 2 3 3" xfId="30" xr:uid="{00000000-0005-0000-0000-00001E000000}"/>
    <cellStyle name="Normal 3 2 2 3 3 2" xfId="31" xr:uid="{00000000-0005-0000-0000-00001F000000}"/>
    <cellStyle name="Normal 3 2 2 3 4" xfId="32" xr:uid="{00000000-0005-0000-0000-000020000000}"/>
    <cellStyle name="Normal 3 2 2 3 5" xfId="33" xr:uid="{00000000-0005-0000-0000-000021000000}"/>
    <cellStyle name="Normal 3 2 2 3 6" xfId="34" xr:uid="{00000000-0005-0000-0000-000022000000}"/>
    <cellStyle name="Normal 3 2 2 3 7" xfId="35" xr:uid="{00000000-0005-0000-0000-000023000000}"/>
    <cellStyle name="Normal 3 2 2 4" xfId="36" xr:uid="{00000000-0005-0000-0000-000024000000}"/>
    <cellStyle name="Normal 3 2 2 4 2" xfId="37" xr:uid="{00000000-0005-0000-0000-000025000000}"/>
    <cellStyle name="Normal 3 2 2 4 2 2" xfId="38" xr:uid="{00000000-0005-0000-0000-000026000000}"/>
    <cellStyle name="Normal 3 2 2 4 3" xfId="39" xr:uid="{00000000-0005-0000-0000-000027000000}"/>
    <cellStyle name="Normal 3 2 2 4 4" xfId="40" xr:uid="{00000000-0005-0000-0000-000028000000}"/>
    <cellStyle name="Normal 3 2 2 4 5" xfId="41" xr:uid="{00000000-0005-0000-0000-000029000000}"/>
    <cellStyle name="Normal 3 2 2 5" xfId="42" xr:uid="{00000000-0005-0000-0000-00002A000000}"/>
    <cellStyle name="Normal 3 2 2 5 2" xfId="43" xr:uid="{00000000-0005-0000-0000-00002B000000}"/>
    <cellStyle name="Normal 3 2 2 6" xfId="44" xr:uid="{00000000-0005-0000-0000-00002C000000}"/>
    <cellStyle name="Normal 3 2 2 7" xfId="45" xr:uid="{00000000-0005-0000-0000-00002D000000}"/>
    <cellStyle name="Normal 3 2 2 8" xfId="46" xr:uid="{00000000-0005-0000-0000-00002E000000}"/>
    <cellStyle name="Normal 3 2 2 9" xfId="47" xr:uid="{00000000-0005-0000-0000-00002F000000}"/>
    <cellStyle name="Normal 3 2 3" xfId="48" xr:uid="{00000000-0005-0000-0000-000030000000}"/>
    <cellStyle name="Normal 3 2 3 2" xfId="49" xr:uid="{00000000-0005-0000-0000-000031000000}"/>
    <cellStyle name="Normal 3 2 3 2 2" xfId="50" xr:uid="{00000000-0005-0000-0000-000032000000}"/>
    <cellStyle name="Normal 3 2 3 2 2 2" xfId="51" xr:uid="{00000000-0005-0000-0000-000033000000}"/>
    <cellStyle name="Normal 3 2 3 2 2 2 2" xfId="52" xr:uid="{00000000-0005-0000-0000-000034000000}"/>
    <cellStyle name="Normal 3 2 3 2 2 3" xfId="53" xr:uid="{00000000-0005-0000-0000-000035000000}"/>
    <cellStyle name="Normal 3 2 3 2 2 4" xfId="54" xr:uid="{00000000-0005-0000-0000-000036000000}"/>
    <cellStyle name="Normal 3 2 3 2 2 5" xfId="55" xr:uid="{00000000-0005-0000-0000-000037000000}"/>
    <cellStyle name="Normal 3 2 3 2 3" xfId="56" xr:uid="{00000000-0005-0000-0000-000038000000}"/>
    <cellStyle name="Normal 3 2 3 2 3 2" xfId="57" xr:uid="{00000000-0005-0000-0000-000039000000}"/>
    <cellStyle name="Normal 3 2 3 2 4" xfId="58" xr:uid="{00000000-0005-0000-0000-00003A000000}"/>
    <cellStyle name="Normal 3 2 3 2 5" xfId="59" xr:uid="{00000000-0005-0000-0000-00003B000000}"/>
    <cellStyle name="Normal 3 2 3 2 6" xfId="60" xr:uid="{00000000-0005-0000-0000-00003C000000}"/>
    <cellStyle name="Normal 3 2 3 2 7" xfId="61" xr:uid="{00000000-0005-0000-0000-00003D000000}"/>
    <cellStyle name="Normal 3 2 3 3" xfId="62" xr:uid="{00000000-0005-0000-0000-00003E000000}"/>
    <cellStyle name="Normal 3 2 3 3 2" xfId="63" xr:uid="{00000000-0005-0000-0000-00003F000000}"/>
    <cellStyle name="Normal 3 2 3 3 2 2" xfId="64" xr:uid="{00000000-0005-0000-0000-000040000000}"/>
    <cellStyle name="Normal 3 2 3 3 2 3" xfId="65" xr:uid="{00000000-0005-0000-0000-000041000000}"/>
    <cellStyle name="Normal 3 2 3 3 3" xfId="66" xr:uid="{00000000-0005-0000-0000-000042000000}"/>
    <cellStyle name="Normal 3 2 3 3 3 2" xfId="67" xr:uid="{00000000-0005-0000-0000-000043000000}"/>
    <cellStyle name="Normal 3 2 3 3 4" xfId="68" xr:uid="{00000000-0005-0000-0000-000044000000}"/>
    <cellStyle name="Normal 3 2 3 3 5" xfId="69" xr:uid="{00000000-0005-0000-0000-000045000000}"/>
    <cellStyle name="Normal 3 2 3 3 6" xfId="70" xr:uid="{00000000-0005-0000-0000-000046000000}"/>
    <cellStyle name="Normal 3 2 3 3 7" xfId="71" xr:uid="{00000000-0005-0000-0000-000047000000}"/>
    <cellStyle name="Normal 3 2 3 4" xfId="72" xr:uid="{00000000-0005-0000-0000-000048000000}"/>
    <cellStyle name="Normal 3 2 3 4 2" xfId="73" xr:uid="{00000000-0005-0000-0000-000049000000}"/>
    <cellStyle name="Normal 3 2 3 4 2 2" xfId="74" xr:uid="{00000000-0005-0000-0000-00004A000000}"/>
    <cellStyle name="Normal 3 2 3 4 3" xfId="75" xr:uid="{00000000-0005-0000-0000-00004B000000}"/>
    <cellStyle name="Normal 3 2 3 4 4" xfId="76" xr:uid="{00000000-0005-0000-0000-00004C000000}"/>
    <cellStyle name="Normal 3 2 3 4 5" xfId="77" xr:uid="{00000000-0005-0000-0000-00004D000000}"/>
    <cellStyle name="Normal 3 2 3 5" xfId="78" xr:uid="{00000000-0005-0000-0000-00004E000000}"/>
    <cellStyle name="Normal 3 2 3 5 2" xfId="79" xr:uid="{00000000-0005-0000-0000-00004F000000}"/>
    <cellStyle name="Normal 3 2 3 6" xfId="80" xr:uid="{00000000-0005-0000-0000-000050000000}"/>
    <cellStyle name="Normal 3 2 3 7" xfId="81" xr:uid="{00000000-0005-0000-0000-000051000000}"/>
    <cellStyle name="Normal 3 2 3 8" xfId="82" xr:uid="{00000000-0005-0000-0000-000052000000}"/>
    <cellStyle name="Normal 3 2 3 9" xfId="83" xr:uid="{00000000-0005-0000-0000-000053000000}"/>
    <cellStyle name="Normal 3 2 4" xfId="84" xr:uid="{00000000-0005-0000-0000-000054000000}"/>
    <cellStyle name="Normal 3 2 4 2" xfId="85" xr:uid="{00000000-0005-0000-0000-000055000000}"/>
    <cellStyle name="Normal 3 2 4 2 2" xfId="86" xr:uid="{00000000-0005-0000-0000-000056000000}"/>
    <cellStyle name="Normal 3 2 4 2 2 2" xfId="87" xr:uid="{00000000-0005-0000-0000-000057000000}"/>
    <cellStyle name="Normal 3 2 4 2 3" xfId="88" xr:uid="{00000000-0005-0000-0000-000058000000}"/>
    <cellStyle name="Normal 3 2 4 2 4" xfId="89" xr:uid="{00000000-0005-0000-0000-000059000000}"/>
    <cellStyle name="Normal 3 2 4 2 5" xfId="90" xr:uid="{00000000-0005-0000-0000-00005A000000}"/>
    <cellStyle name="Normal 3 2 4 3" xfId="91" xr:uid="{00000000-0005-0000-0000-00005B000000}"/>
    <cellStyle name="Normal 3 2 4 3 2" xfId="92" xr:uid="{00000000-0005-0000-0000-00005C000000}"/>
    <cellStyle name="Normal 3 2 4 4" xfId="93" xr:uid="{00000000-0005-0000-0000-00005D000000}"/>
    <cellStyle name="Normal 3 2 4 5" xfId="94" xr:uid="{00000000-0005-0000-0000-00005E000000}"/>
    <cellStyle name="Normal 3 2 4 6" xfId="95" xr:uid="{00000000-0005-0000-0000-00005F000000}"/>
    <cellStyle name="Normal 3 2 4 7" xfId="96" xr:uid="{00000000-0005-0000-0000-000060000000}"/>
    <cellStyle name="Normal 3 2 5" xfId="97" xr:uid="{00000000-0005-0000-0000-000061000000}"/>
    <cellStyle name="Normal 3 2 5 2" xfId="98" xr:uid="{00000000-0005-0000-0000-000062000000}"/>
    <cellStyle name="Normal 3 2 5 2 2" xfId="99" xr:uid="{00000000-0005-0000-0000-000063000000}"/>
    <cellStyle name="Normal 3 2 5 2 3" xfId="100" xr:uid="{00000000-0005-0000-0000-000064000000}"/>
    <cellStyle name="Normal 3 2 5 3" xfId="101" xr:uid="{00000000-0005-0000-0000-000065000000}"/>
    <cellStyle name="Normal 3 2 5 3 2" xfId="102" xr:uid="{00000000-0005-0000-0000-000066000000}"/>
    <cellStyle name="Normal 3 2 5 4" xfId="103" xr:uid="{00000000-0005-0000-0000-000067000000}"/>
    <cellStyle name="Normal 3 2 5 5" xfId="104" xr:uid="{00000000-0005-0000-0000-000068000000}"/>
    <cellStyle name="Normal 3 2 5 6" xfId="105" xr:uid="{00000000-0005-0000-0000-000069000000}"/>
    <cellStyle name="Normal 3 2 5 7" xfId="106" xr:uid="{00000000-0005-0000-0000-00006A000000}"/>
    <cellStyle name="Normal 3 2 6" xfId="107" xr:uid="{00000000-0005-0000-0000-00006B000000}"/>
    <cellStyle name="Normal 3 2 6 2" xfId="108" xr:uid="{00000000-0005-0000-0000-00006C000000}"/>
    <cellStyle name="Normal 3 2 6 2 2" xfId="109" xr:uid="{00000000-0005-0000-0000-00006D000000}"/>
    <cellStyle name="Normal 3 2 6 3" xfId="110" xr:uid="{00000000-0005-0000-0000-00006E000000}"/>
    <cellStyle name="Normal 3 2 6 4" xfId="111" xr:uid="{00000000-0005-0000-0000-00006F000000}"/>
    <cellStyle name="Normal 3 2 6 5" xfId="112" xr:uid="{00000000-0005-0000-0000-000070000000}"/>
    <cellStyle name="Normal 3 2 7" xfId="113" xr:uid="{00000000-0005-0000-0000-000071000000}"/>
    <cellStyle name="Normal 3 2 7 2" xfId="114" xr:uid="{00000000-0005-0000-0000-000072000000}"/>
    <cellStyle name="Normal 3 2 8" xfId="115" xr:uid="{00000000-0005-0000-0000-000073000000}"/>
    <cellStyle name="Normal 3 2 9" xfId="116" xr:uid="{00000000-0005-0000-0000-000074000000}"/>
    <cellStyle name="Normal 3 3" xfId="117" xr:uid="{00000000-0005-0000-0000-000075000000}"/>
    <cellStyle name="Normal 3 3 2" xfId="118" xr:uid="{00000000-0005-0000-0000-000076000000}"/>
    <cellStyle name="Normal 3 3 2 2" xfId="119" xr:uid="{00000000-0005-0000-0000-000077000000}"/>
    <cellStyle name="Normal 3 3 2 2 2" xfId="120" xr:uid="{00000000-0005-0000-0000-000078000000}"/>
    <cellStyle name="Normal 3 3 2 2 2 2" xfId="121" xr:uid="{00000000-0005-0000-0000-000079000000}"/>
    <cellStyle name="Normal 3 3 2 2 3" xfId="122" xr:uid="{00000000-0005-0000-0000-00007A000000}"/>
    <cellStyle name="Normal 3 3 2 2 4" xfId="123" xr:uid="{00000000-0005-0000-0000-00007B000000}"/>
    <cellStyle name="Normal 3 3 2 2 5" xfId="124" xr:uid="{00000000-0005-0000-0000-00007C000000}"/>
    <cellStyle name="Normal 3 3 2 3" xfId="125" xr:uid="{00000000-0005-0000-0000-00007D000000}"/>
    <cellStyle name="Normal 3 3 2 3 2" xfId="126" xr:uid="{00000000-0005-0000-0000-00007E000000}"/>
    <cellStyle name="Normal 3 3 2 4" xfId="127" xr:uid="{00000000-0005-0000-0000-00007F000000}"/>
    <cellStyle name="Normal 3 3 2 5" xfId="128" xr:uid="{00000000-0005-0000-0000-000080000000}"/>
    <cellStyle name="Normal 3 3 2 6" xfId="129" xr:uid="{00000000-0005-0000-0000-000081000000}"/>
    <cellStyle name="Normal 3 3 2 7" xfId="130" xr:uid="{00000000-0005-0000-0000-000082000000}"/>
    <cellStyle name="Normal 3 3 3" xfId="131" xr:uid="{00000000-0005-0000-0000-000083000000}"/>
    <cellStyle name="Normal 3 3 3 2" xfId="132" xr:uid="{00000000-0005-0000-0000-000084000000}"/>
    <cellStyle name="Normal 3 3 3 2 2" xfId="133" xr:uid="{00000000-0005-0000-0000-000085000000}"/>
    <cellStyle name="Normal 3 3 3 2 3" xfId="134" xr:uid="{00000000-0005-0000-0000-000086000000}"/>
    <cellStyle name="Normal 3 3 3 3" xfId="135" xr:uid="{00000000-0005-0000-0000-000087000000}"/>
    <cellStyle name="Normal 3 3 3 3 2" xfId="136" xr:uid="{00000000-0005-0000-0000-000088000000}"/>
    <cellStyle name="Normal 3 3 3 4" xfId="137" xr:uid="{00000000-0005-0000-0000-000089000000}"/>
    <cellStyle name="Normal 3 3 3 5" xfId="138" xr:uid="{00000000-0005-0000-0000-00008A000000}"/>
    <cellStyle name="Normal 3 3 3 6" xfId="139" xr:uid="{00000000-0005-0000-0000-00008B000000}"/>
    <cellStyle name="Normal 3 3 3 7" xfId="140" xr:uid="{00000000-0005-0000-0000-00008C000000}"/>
    <cellStyle name="Normal 3 3 4" xfId="141" xr:uid="{00000000-0005-0000-0000-00008D000000}"/>
    <cellStyle name="Normal 3 3 4 2" xfId="142" xr:uid="{00000000-0005-0000-0000-00008E000000}"/>
    <cellStyle name="Normal 3 3 4 2 2" xfId="143" xr:uid="{00000000-0005-0000-0000-00008F000000}"/>
    <cellStyle name="Normal 3 3 4 3" xfId="144" xr:uid="{00000000-0005-0000-0000-000090000000}"/>
    <cellStyle name="Normal 3 3 4 4" xfId="145" xr:uid="{00000000-0005-0000-0000-000091000000}"/>
    <cellStyle name="Normal 3 3 4 5" xfId="146" xr:uid="{00000000-0005-0000-0000-000092000000}"/>
    <cellStyle name="Normal 3 3 5" xfId="147" xr:uid="{00000000-0005-0000-0000-000093000000}"/>
    <cellStyle name="Normal 3 3 5 2" xfId="148" xr:uid="{00000000-0005-0000-0000-000094000000}"/>
    <cellStyle name="Normal 3 3 6" xfId="149" xr:uid="{00000000-0005-0000-0000-000095000000}"/>
    <cellStyle name="Normal 3 3 7" xfId="150" xr:uid="{00000000-0005-0000-0000-000096000000}"/>
    <cellStyle name="Normal 3 3 8" xfId="151" xr:uid="{00000000-0005-0000-0000-000097000000}"/>
    <cellStyle name="Normal 3 3 9" xfId="152" xr:uid="{00000000-0005-0000-0000-000098000000}"/>
    <cellStyle name="Normal 3 4" xfId="153" xr:uid="{00000000-0005-0000-0000-000099000000}"/>
    <cellStyle name="Normal 3 4 2" xfId="154" xr:uid="{00000000-0005-0000-0000-00009A000000}"/>
    <cellStyle name="Normal 3 4 2 2" xfId="155" xr:uid="{00000000-0005-0000-0000-00009B000000}"/>
    <cellStyle name="Normal 3 4 2 2 2" xfId="156" xr:uid="{00000000-0005-0000-0000-00009C000000}"/>
    <cellStyle name="Normal 3 4 2 2 2 2" xfId="157" xr:uid="{00000000-0005-0000-0000-00009D000000}"/>
    <cellStyle name="Normal 3 4 2 2 3" xfId="158" xr:uid="{00000000-0005-0000-0000-00009E000000}"/>
    <cellStyle name="Normal 3 4 2 2 4" xfId="159" xr:uid="{00000000-0005-0000-0000-00009F000000}"/>
    <cellStyle name="Normal 3 4 2 2 5" xfId="160" xr:uid="{00000000-0005-0000-0000-0000A0000000}"/>
    <cellStyle name="Normal 3 4 2 3" xfId="161" xr:uid="{00000000-0005-0000-0000-0000A1000000}"/>
    <cellStyle name="Normal 3 4 2 3 2" xfId="162" xr:uid="{00000000-0005-0000-0000-0000A2000000}"/>
    <cellStyle name="Normal 3 4 2 4" xfId="163" xr:uid="{00000000-0005-0000-0000-0000A3000000}"/>
    <cellStyle name="Normal 3 4 2 5" xfId="164" xr:uid="{00000000-0005-0000-0000-0000A4000000}"/>
    <cellStyle name="Normal 3 4 2 6" xfId="165" xr:uid="{00000000-0005-0000-0000-0000A5000000}"/>
    <cellStyle name="Normal 3 4 2 7" xfId="166" xr:uid="{00000000-0005-0000-0000-0000A6000000}"/>
    <cellStyle name="Normal 3 4 3" xfId="167" xr:uid="{00000000-0005-0000-0000-0000A7000000}"/>
    <cellStyle name="Normal 3 4 3 2" xfId="168" xr:uid="{00000000-0005-0000-0000-0000A8000000}"/>
    <cellStyle name="Normal 3 4 3 2 2" xfId="169" xr:uid="{00000000-0005-0000-0000-0000A9000000}"/>
    <cellStyle name="Normal 3 4 3 2 3" xfId="170" xr:uid="{00000000-0005-0000-0000-0000AA000000}"/>
    <cellStyle name="Normal 3 4 3 3" xfId="171" xr:uid="{00000000-0005-0000-0000-0000AB000000}"/>
    <cellStyle name="Normal 3 4 3 3 2" xfId="172" xr:uid="{00000000-0005-0000-0000-0000AC000000}"/>
    <cellStyle name="Normal 3 4 3 4" xfId="173" xr:uid="{00000000-0005-0000-0000-0000AD000000}"/>
    <cellStyle name="Normal 3 4 3 5" xfId="174" xr:uid="{00000000-0005-0000-0000-0000AE000000}"/>
    <cellStyle name="Normal 3 4 3 6" xfId="175" xr:uid="{00000000-0005-0000-0000-0000AF000000}"/>
    <cellStyle name="Normal 3 4 3 7" xfId="176" xr:uid="{00000000-0005-0000-0000-0000B0000000}"/>
    <cellStyle name="Normal 3 4 4" xfId="177" xr:uid="{00000000-0005-0000-0000-0000B1000000}"/>
    <cellStyle name="Normal 3 4 4 2" xfId="178" xr:uid="{00000000-0005-0000-0000-0000B2000000}"/>
    <cellStyle name="Normal 3 4 4 2 2" xfId="179" xr:uid="{00000000-0005-0000-0000-0000B3000000}"/>
    <cellStyle name="Normal 3 4 4 3" xfId="180" xr:uid="{00000000-0005-0000-0000-0000B4000000}"/>
    <cellStyle name="Normal 3 4 4 4" xfId="181" xr:uid="{00000000-0005-0000-0000-0000B5000000}"/>
    <cellStyle name="Normal 3 4 4 5" xfId="182" xr:uid="{00000000-0005-0000-0000-0000B6000000}"/>
    <cellStyle name="Normal 3 4 5" xfId="183" xr:uid="{00000000-0005-0000-0000-0000B7000000}"/>
    <cellStyle name="Normal 3 4 5 2" xfId="184" xr:uid="{00000000-0005-0000-0000-0000B8000000}"/>
    <cellStyle name="Normal 3 4 6" xfId="185" xr:uid="{00000000-0005-0000-0000-0000B9000000}"/>
    <cellStyle name="Normal 3 4 7" xfId="186" xr:uid="{00000000-0005-0000-0000-0000BA000000}"/>
    <cellStyle name="Normal 3 4 8" xfId="187" xr:uid="{00000000-0005-0000-0000-0000BB000000}"/>
    <cellStyle name="Normal 3 4 9" xfId="188" xr:uid="{00000000-0005-0000-0000-0000BC000000}"/>
    <cellStyle name="Normal 3 5" xfId="189" xr:uid="{00000000-0005-0000-0000-0000BD000000}"/>
    <cellStyle name="Normal 3 5 2" xfId="190" xr:uid="{00000000-0005-0000-0000-0000BE000000}"/>
    <cellStyle name="Normal 3 5 2 2" xfId="191" xr:uid="{00000000-0005-0000-0000-0000BF000000}"/>
    <cellStyle name="Normal 3 5 2 2 2" xfId="192" xr:uid="{00000000-0005-0000-0000-0000C0000000}"/>
    <cellStyle name="Normal 3 5 2 2 2 2" xfId="193" xr:uid="{00000000-0005-0000-0000-0000C1000000}"/>
    <cellStyle name="Normal 3 5 2 2 3" xfId="194" xr:uid="{00000000-0005-0000-0000-0000C2000000}"/>
    <cellStyle name="Normal 3 5 2 2 4" xfId="195" xr:uid="{00000000-0005-0000-0000-0000C3000000}"/>
    <cellStyle name="Normal 3 5 2 2 5" xfId="196" xr:uid="{00000000-0005-0000-0000-0000C4000000}"/>
    <cellStyle name="Normal 3 5 2 3" xfId="197" xr:uid="{00000000-0005-0000-0000-0000C5000000}"/>
    <cellStyle name="Normal 3 5 2 3 2" xfId="198" xr:uid="{00000000-0005-0000-0000-0000C6000000}"/>
    <cellStyle name="Normal 3 5 2 4" xfId="199" xr:uid="{00000000-0005-0000-0000-0000C7000000}"/>
    <cellStyle name="Normal 3 5 2 5" xfId="200" xr:uid="{00000000-0005-0000-0000-0000C8000000}"/>
    <cellStyle name="Normal 3 5 2 6" xfId="201" xr:uid="{00000000-0005-0000-0000-0000C9000000}"/>
    <cellStyle name="Normal 3 5 2 7" xfId="202" xr:uid="{00000000-0005-0000-0000-0000CA000000}"/>
    <cellStyle name="Normal 3 5 3" xfId="203" xr:uid="{00000000-0005-0000-0000-0000CB000000}"/>
    <cellStyle name="Normal 3 5 3 2" xfId="204" xr:uid="{00000000-0005-0000-0000-0000CC000000}"/>
    <cellStyle name="Normal 3 5 3 2 2" xfId="205" xr:uid="{00000000-0005-0000-0000-0000CD000000}"/>
    <cellStyle name="Normal 3 5 3 2 3" xfId="206" xr:uid="{00000000-0005-0000-0000-0000CE000000}"/>
    <cellStyle name="Normal 3 5 3 3" xfId="207" xr:uid="{00000000-0005-0000-0000-0000CF000000}"/>
    <cellStyle name="Normal 3 5 3 3 2" xfId="208" xr:uid="{00000000-0005-0000-0000-0000D0000000}"/>
    <cellStyle name="Normal 3 5 3 4" xfId="209" xr:uid="{00000000-0005-0000-0000-0000D1000000}"/>
    <cellStyle name="Normal 3 5 3 5" xfId="210" xr:uid="{00000000-0005-0000-0000-0000D2000000}"/>
    <cellStyle name="Normal 3 5 3 6" xfId="211" xr:uid="{00000000-0005-0000-0000-0000D3000000}"/>
    <cellStyle name="Normal 3 5 3 7" xfId="212" xr:uid="{00000000-0005-0000-0000-0000D4000000}"/>
    <cellStyle name="Normal 3 5 4" xfId="213" xr:uid="{00000000-0005-0000-0000-0000D5000000}"/>
    <cellStyle name="Normal 3 5 4 2" xfId="214" xr:uid="{00000000-0005-0000-0000-0000D6000000}"/>
    <cellStyle name="Normal 3 5 4 2 2" xfId="215" xr:uid="{00000000-0005-0000-0000-0000D7000000}"/>
    <cellStyle name="Normal 3 5 4 3" xfId="216" xr:uid="{00000000-0005-0000-0000-0000D8000000}"/>
    <cellStyle name="Normal 3 5 4 4" xfId="217" xr:uid="{00000000-0005-0000-0000-0000D9000000}"/>
    <cellStyle name="Normal 3 5 4 5" xfId="218" xr:uid="{00000000-0005-0000-0000-0000DA000000}"/>
    <cellStyle name="Normal 3 5 5" xfId="219" xr:uid="{00000000-0005-0000-0000-0000DB000000}"/>
    <cellStyle name="Normal 3 5 5 2" xfId="220" xr:uid="{00000000-0005-0000-0000-0000DC000000}"/>
    <cellStyle name="Normal 3 5 6" xfId="221" xr:uid="{00000000-0005-0000-0000-0000DD000000}"/>
    <cellStyle name="Normal 3 5 7" xfId="222" xr:uid="{00000000-0005-0000-0000-0000DE000000}"/>
    <cellStyle name="Normal 3 5 8" xfId="223" xr:uid="{00000000-0005-0000-0000-0000DF000000}"/>
    <cellStyle name="Normal 3 5 9" xfId="224" xr:uid="{00000000-0005-0000-0000-0000E0000000}"/>
    <cellStyle name="Normal 3 6" xfId="225" xr:uid="{00000000-0005-0000-0000-0000E1000000}"/>
    <cellStyle name="Normal 3 6 2" xfId="226" xr:uid="{00000000-0005-0000-0000-0000E2000000}"/>
    <cellStyle name="Normal 3 6 2 2" xfId="227" xr:uid="{00000000-0005-0000-0000-0000E3000000}"/>
    <cellStyle name="Normal 3 6 2 2 2" xfId="228" xr:uid="{00000000-0005-0000-0000-0000E4000000}"/>
    <cellStyle name="Normal 3 6 2 3" xfId="229" xr:uid="{00000000-0005-0000-0000-0000E5000000}"/>
    <cellStyle name="Normal 3 6 2 4" xfId="230" xr:uid="{00000000-0005-0000-0000-0000E6000000}"/>
    <cellStyle name="Normal 3 6 2 5" xfId="231" xr:uid="{00000000-0005-0000-0000-0000E7000000}"/>
    <cellStyle name="Normal 3 6 3" xfId="232" xr:uid="{00000000-0005-0000-0000-0000E8000000}"/>
    <cellStyle name="Normal 3 6 3 2" xfId="233" xr:uid="{00000000-0005-0000-0000-0000E9000000}"/>
    <cellStyle name="Normal 3 6 4" xfId="234" xr:uid="{00000000-0005-0000-0000-0000EA000000}"/>
    <cellStyle name="Normal 3 6 5" xfId="235" xr:uid="{00000000-0005-0000-0000-0000EB000000}"/>
    <cellStyle name="Normal 3 6 6" xfId="236" xr:uid="{00000000-0005-0000-0000-0000EC000000}"/>
    <cellStyle name="Normal 3 6 7" xfId="237" xr:uid="{00000000-0005-0000-0000-0000ED000000}"/>
    <cellStyle name="Normal 3 7" xfId="238" xr:uid="{00000000-0005-0000-0000-0000EE000000}"/>
    <cellStyle name="Normal 3 7 2" xfId="239" xr:uid="{00000000-0005-0000-0000-0000EF000000}"/>
    <cellStyle name="Normal 3 7 2 2" xfId="240" xr:uid="{00000000-0005-0000-0000-0000F0000000}"/>
    <cellStyle name="Normal 3 7 2 3" xfId="241" xr:uid="{00000000-0005-0000-0000-0000F1000000}"/>
    <cellStyle name="Normal 3 7 3" xfId="242" xr:uid="{00000000-0005-0000-0000-0000F2000000}"/>
    <cellStyle name="Normal 3 7 3 2" xfId="243" xr:uid="{00000000-0005-0000-0000-0000F3000000}"/>
    <cellStyle name="Normal 3 7 4" xfId="244" xr:uid="{00000000-0005-0000-0000-0000F4000000}"/>
    <cellStyle name="Normal 3 7 5" xfId="245" xr:uid="{00000000-0005-0000-0000-0000F5000000}"/>
    <cellStyle name="Normal 3 7 6" xfId="246" xr:uid="{00000000-0005-0000-0000-0000F6000000}"/>
    <cellStyle name="Normal 3 7 7" xfId="247" xr:uid="{00000000-0005-0000-0000-0000F7000000}"/>
    <cellStyle name="Normal 3 8" xfId="248" xr:uid="{00000000-0005-0000-0000-0000F8000000}"/>
    <cellStyle name="Normal 3 8 2" xfId="249" xr:uid="{00000000-0005-0000-0000-0000F9000000}"/>
    <cellStyle name="Normal 3 8 2 2" xfId="250" xr:uid="{00000000-0005-0000-0000-0000FA000000}"/>
    <cellStyle name="Normal 3 8 3" xfId="251" xr:uid="{00000000-0005-0000-0000-0000FB000000}"/>
    <cellStyle name="Normal 3 8 4" xfId="252" xr:uid="{00000000-0005-0000-0000-0000FC000000}"/>
    <cellStyle name="Normal 3 8 5" xfId="253" xr:uid="{00000000-0005-0000-0000-0000FD000000}"/>
    <cellStyle name="Normal 3 9" xfId="254" xr:uid="{00000000-0005-0000-0000-0000FE000000}"/>
    <cellStyle name="Normal 3 9 2" xfId="255" xr:uid="{00000000-0005-0000-0000-0000FF000000}"/>
    <cellStyle name="Normal 4" xfId="256" xr:uid="{00000000-0005-0000-0000-000000010000}"/>
    <cellStyle name="Normal 4 10" xfId="257" xr:uid="{00000000-0005-0000-0000-000001010000}"/>
    <cellStyle name="Normal 4 11" xfId="258" xr:uid="{00000000-0005-0000-0000-000002010000}"/>
    <cellStyle name="Normal 4 12" xfId="259" xr:uid="{00000000-0005-0000-0000-000003010000}"/>
    <cellStyle name="Normal 4 13" xfId="260" xr:uid="{00000000-0005-0000-0000-000004010000}"/>
    <cellStyle name="Normal 4 2" xfId="261" xr:uid="{00000000-0005-0000-0000-000005010000}"/>
    <cellStyle name="Normal 4 2 10" xfId="262" xr:uid="{00000000-0005-0000-0000-000006010000}"/>
    <cellStyle name="Normal 4 2 11" xfId="263" xr:uid="{00000000-0005-0000-0000-000007010000}"/>
    <cellStyle name="Normal 4 2 2" xfId="264" xr:uid="{00000000-0005-0000-0000-000008010000}"/>
    <cellStyle name="Normal 4 2 2 2" xfId="265" xr:uid="{00000000-0005-0000-0000-000009010000}"/>
    <cellStyle name="Normal 4 2 2 2 2" xfId="266" xr:uid="{00000000-0005-0000-0000-00000A010000}"/>
    <cellStyle name="Normal 4 2 2 2 2 2" xfId="267" xr:uid="{00000000-0005-0000-0000-00000B010000}"/>
    <cellStyle name="Normal 4 2 2 2 2 2 2" xfId="268" xr:uid="{00000000-0005-0000-0000-00000C010000}"/>
    <cellStyle name="Normal 4 2 2 2 2 3" xfId="269" xr:uid="{00000000-0005-0000-0000-00000D010000}"/>
    <cellStyle name="Normal 4 2 2 2 2 4" xfId="270" xr:uid="{00000000-0005-0000-0000-00000E010000}"/>
    <cellStyle name="Normal 4 2 2 2 2 5" xfId="271" xr:uid="{00000000-0005-0000-0000-00000F010000}"/>
    <cellStyle name="Normal 4 2 2 2 3" xfId="272" xr:uid="{00000000-0005-0000-0000-000010010000}"/>
    <cellStyle name="Normal 4 2 2 2 3 2" xfId="273" xr:uid="{00000000-0005-0000-0000-000011010000}"/>
    <cellStyle name="Normal 4 2 2 2 4" xfId="274" xr:uid="{00000000-0005-0000-0000-000012010000}"/>
    <cellStyle name="Normal 4 2 2 2 5" xfId="275" xr:uid="{00000000-0005-0000-0000-000013010000}"/>
    <cellStyle name="Normal 4 2 2 2 6" xfId="276" xr:uid="{00000000-0005-0000-0000-000014010000}"/>
    <cellStyle name="Normal 4 2 2 2 7" xfId="277" xr:uid="{00000000-0005-0000-0000-000015010000}"/>
    <cellStyle name="Normal 4 2 2 3" xfId="278" xr:uid="{00000000-0005-0000-0000-000016010000}"/>
    <cellStyle name="Normal 4 2 2 3 2" xfId="279" xr:uid="{00000000-0005-0000-0000-000017010000}"/>
    <cellStyle name="Normal 4 2 2 3 2 2" xfId="280" xr:uid="{00000000-0005-0000-0000-000018010000}"/>
    <cellStyle name="Normal 4 2 2 3 2 3" xfId="281" xr:uid="{00000000-0005-0000-0000-000019010000}"/>
    <cellStyle name="Normal 4 2 2 3 3" xfId="282" xr:uid="{00000000-0005-0000-0000-00001A010000}"/>
    <cellStyle name="Normal 4 2 2 3 3 2" xfId="283" xr:uid="{00000000-0005-0000-0000-00001B010000}"/>
    <cellStyle name="Normal 4 2 2 3 4" xfId="284" xr:uid="{00000000-0005-0000-0000-00001C010000}"/>
    <cellStyle name="Normal 4 2 2 3 5" xfId="285" xr:uid="{00000000-0005-0000-0000-00001D010000}"/>
    <cellStyle name="Normal 4 2 2 3 6" xfId="286" xr:uid="{00000000-0005-0000-0000-00001E010000}"/>
    <cellStyle name="Normal 4 2 2 3 7" xfId="287" xr:uid="{00000000-0005-0000-0000-00001F010000}"/>
    <cellStyle name="Normal 4 2 2 4" xfId="288" xr:uid="{00000000-0005-0000-0000-000020010000}"/>
    <cellStyle name="Normal 4 2 2 4 2" xfId="289" xr:uid="{00000000-0005-0000-0000-000021010000}"/>
    <cellStyle name="Normal 4 2 2 4 2 2" xfId="290" xr:uid="{00000000-0005-0000-0000-000022010000}"/>
    <cellStyle name="Normal 4 2 2 4 3" xfId="291" xr:uid="{00000000-0005-0000-0000-000023010000}"/>
    <cellStyle name="Normal 4 2 2 4 4" xfId="292" xr:uid="{00000000-0005-0000-0000-000024010000}"/>
    <cellStyle name="Normal 4 2 2 4 5" xfId="293" xr:uid="{00000000-0005-0000-0000-000025010000}"/>
    <cellStyle name="Normal 4 2 2 5" xfId="294" xr:uid="{00000000-0005-0000-0000-000026010000}"/>
    <cellStyle name="Normal 4 2 2 5 2" xfId="295" xr:uid="{00000000-0005-0000-0000-000027010000}"/>
    <cellStyle name="Normal 4 2 2 6" xfId="296" xr:uid="{00000000-0005-0000-0000-000028010000}"/>
    <cellStyle name="Normal 4 2 2 7" xfId="297" xr:uid="{00000000-0005-0000-0000-000029010000}"/>
    <cellStyle name="Normal 4 2 2 8" xfId="298" xr:uid="{00000000-0005-0000-0000-00002A010000}"/>
    <cellStyle name="Normal 4 2 2 9" xfId="299" xr:uid="{00000000-0005-0000-0000-00002B010000}"/>
    <cellStyle name="Normal 4 2 3" xfId="300" xr:uid="{00000000-0005-0000-0000-00002C010000}"/>
    <cellStyle name="Normal 4 2 3 2" xfId="301" xr:uid="{00000000-0005-0000-0000-00002D010000}"/>
    <cellStyle name="Normal 4 2 3 2 2" xfId="302" xr:uid="{00000000-0005-0000-0000-00002E010000}"/>
    <cellStyle name="Normal 4 2 3 2 2 2" xfId="303" xr:uid="{00000000-0005-0000-0000-00002F010000}"/>
    <cellStyle name="Normal 4 2 3 2 2 2 2" xfId="304" xr:uid="{00000000-0005-0000-0000-000030010000}"/>
    <cellStyle name="Normal 4 2 3 2 2 3" xfId="305" xr:uid="{00000000-0005-0000-0000-000031010000}"/>
    <cellStyle name="Normal 4 2 3 2 2 4" xfId="306" xr:uid="{00000000-0005-0000-0000-000032010000}"/>
    <cellStyle name="Normal 4 2 3 2 2 5" xfId="307" xr:uid="{00000000-0005-0000-0000-000033010000}"/>
    <cellStyle name="Normal 4 2 3 2 3" xfId="308" xr:uid="{00000000-0005-0000-0000-000034010000}"/>
    <cellStyle name="Normal 4 2 3 2 3 2" xfId="309" xr:uid="{00000000-0005-0000-0000-000035010000}"/>
    <cellStyle name="Normal 4 2 3 2 4" xfId="310" xr:uid="{00000000-0005-0000-0000-000036010000}"/>
    <cellStyle name="Normal 4 2 3 2 5" xfId="311" xr:uid="{00000000-0005-0000-0000-000037010000}"/>
    <cellStyle name="Normal 4 2 3 2 6" xfId="312" xr:uid="{00000000-0005-0000-0000-000038010000}"/>
    <cellStyle name="Normal 4 2 3 2 7" xfId="313" xr:uid="{00000000-0005-0000-0000-000039010000}"/>
    <cellStyle name="Normal 4 2 3 3" xfId="314" xr:uid="{00000000-0005-0000-0000-00003A010000}"/>
    <cellStyle name="Normal 4 2 3 3 2" xfId="315" xr:uid="{00000000-0005-0000-0000-00003B010000}"/>
    <cellStyle name="Normal 4 2 3 3 2 2" xfId="316" xr:uid="{00000000-0005-0000-0000-00003C010000}"/>
    <cellStyle name="Normal 4 2 3 3 2 3" xfId="317" xr:uid="{00000000-0005-0000-0000-00003D010000}"/>
    <cellStyle name="Normal 4 2 3 3 3" xfId="318" xr:uid="{00000000-0005-0000-0000-00003E010000}"/>
    <cellStyle name="Normal 4 2 3 3 3 2" xfId="319" xr:uid="{00000000-0005-0000-0000-00003F010000}"/>
    <cellStyle name="Normal 4 2 3 3 4" xfId="320" xr:uid="{00000000-0005-0000-0000-000040010000}"/>
    <cellStyle name="Normal 4 2 3 3 5" xfId="321" xr:uid="{00000000-0005-0000-0000-000041010000}"/>
    <cellStyle name="Normal 4 2 3 3 6" xfId="322" xr:uid="{00000000-0005-0000-0000-000042010000}"/>
    <cellStyle name="Normal 4 2 3 3 7" xfId="323" xr:uid="{00000000-0005-0000-0000-000043010000}"/>
    <cellStyle name="Normal 4 2 3 4" xfId="324" xr:uid="{00000000-0005-0000-0000-000044010000}"/>
    <cellStyle name="Normal 4 2 3 4 2" xfId="325" xr:uid="{00000000-0005-0000-0000-000045010000}"/>
    <cellStyle name="Normal 4 2 3 4 2 2" xfId="326" xr:uid="{00000000-0005-0000-0000-000046010000}"/>
    <cellStyle name="Normal 4 2 3 4 3" xfId="327" xr:uid="{00000000-0005-0000-0000-000047010000}"/>
    <cellStyle name="Normal 4 2 3 4 4" xfId="328" xr:uid="{00000000-0005-0000-0000-000048010000}"/>
    <cellStyle name="Normal 4 2 3 4 5" xfId="329" xr:uid="{00000000-0005-0000-0000-000049010000}"/>
    <cellStyle name="Normal 4 2 3 5" xfId="330" xr:uid="{00000000-0005-0000-0000-00004A010000}"/>
    <cellStyle name="Normal 4 2 3 5 2" xfId="331" xr:uid="{00000000-0005-0000-0000-00004B010000}"/>
    <cellStyle name="Normal 4 2 3 6" xfId="332" xr:uid="{00000000-0005-0000-0000-00004C010000}"/>
    <cellStyle name="Normal 4 2 3 7" xfId="333" xr:uid="{00000000-0005-0000-0000-00004D010000}"/>
    <cellStyle name="Normal 4 2 3 8" xfId="334" xr:uid="{00000000-0005-0000-0000-00004E010000}"/>
    <cellStyle name="Normal 4 2 3 9" xfId="335" xr:uid="{00000000-0005-0000-0000-00004F010000}"/>
    <cellStyle name="Normal 4 2 4" xfId="336" xr:uid="{00000000-0005-0000-0000-000050010000}"/>
    <cellStyle name="Normal 4 2 4 2" xfId="337" xr:uid="{00000000-0005-0000-0000-000051010000}"/>
    <cellStyle name="Normal 4 2 4 2 2" xfId="338" xr:uid="{00000000-0005-0000-0000-000052010000}"/>
    <cellStyle name="Normal 4 2 4 2 2 2" xfId="339" xr:uid="{00000000-0005-0000-0000-000053010000}"/>
    <cellStyle name="Normal 4 2 4 2 3" xfId="340" xr:uid="{00000000-0005-0000-0000-000054010000}"/>
    <cellStyle name="Normal 4 2 4 2 4" xfId="341" xr:uid="{00000000-0005-0000-0000-000055010000}"/>
    <cellStyle name="Normal 4 2 4 2 5" xfId="342" xr:uid="{00000000-0005-0000-0000-000056010000}"/>
    <cellStyle name="Normal 4 2 4 3" xfId="343" xr:uid="{00000000-0005-0000-0000-000057010000}"/>
    <cellStyle name="Normal 4 2 4 3 2" xfId="344" xr:uid="{00000000-0005-0000-0000-000058010000}"/>
    <cellStyle name="Normal 4 2 4 4" xfId="345" xr:uid="{00000000-0005-0000-0000-000059010000}"/>
    <cellStyle name="Normal 4 2 4 5" xfId="346" xr:uid="{00000000-0005-0000-0000-00005A010000}"/>
    <cellStyle name="Normal 4 2 4 6" xfId="347" xr:uid="{00000000-0005-0000-0000-00005B010000}"/>
    <cellStyle name="Normal 4 2 4 7" xfId="348" xr:uid="{00000000-0005-0000-0000-00005C010000}"/>
    <cellStyle name="Normal 4 2 5" xfId="349" xr:uid="{00000000-0005-0000-0000-00005D010000}"/>
    <cellStyle name="Normal 4 2 5 2" xfId="350" xr:uid="{00000000-0005-0000-0000-00005E010000}"/>
    <cellStyle name="Normal 4 2 5 2 2" xfId="351" xr:uid="{00000000-0005-0000-0000-00005F010000}"/>
    <cellStyle name="Normal 4 2 5 2 3" xfId="352" xr:uid="{00000000-0005-0000-0000-000060010000}"/>
    <cellStyle name="Normal 4 2 5 3" xfId="353" xr:uid="{00000000-0005-0000-0000-000061010000}"/>
    <cellStyle name="Normal 4 2 5 3 2" xfId="354" xr:uid="{00000000-0005-0000-0000-000062010000}"/>
    <cellStyle name="Normal 4 2 5 4" xfId="355" xr:uid="{00000000-0005-0000-0000-000063010000}"/>
    <cellStyle name="Normal 4 2 5 5" xfId="356" xr:uid="{00000000-0005-0000-0000-000064010000}"/>
    <cellStyle name="Normal 4 2 5 6" xfId="357" xr:uid="{00000000-0005-0000-0000-000065010000}"/>
    <cellStyle name="Normal 4 2 5 7" xfId="358" xr:uid="{00000000-0005-0000-0000-000066010000}"/>
    <cellStyle name="Normal 4 2 6" xfId="359" xr:uid="{00000000-0005-0000-0000-000067010000}"/>
    <cellStyle name="Normal 4 2 6 2" xfId="360" xr:uid="{00000000-0005-0000-0000-000068010000}"/>
    <cellStyle name="Normal 4 2 6 2 2" xfId="361" xr:uid="{00000000-0005-0000-0000-000069010000}"/>
    <cellStyle name="Normal 4 2 6 3" xfId="362" xr:uid="{00000000-0005-0000-0000-00006A010000}"/>
    <cellStyle name="Normal 4 2 6 4" xfId="363" xr:uid="{00000000-0005-0000-0000-00006B010000}"/>
    <cellStyle name="Normal 4 2 6 5" xfId="364" xr:uid="{00000000-0005-0000-0000-00006C010000}"/>
    <cellStyle name="Normal 4 2 7" xfId="365" xr:uid="{00000000-0005-0000-0000-00006D010000}"/>
    <cellStyle name="Normal 4 2 7 2" xfId="366" xr:uid="{00000000-0005-0000-0000-00006E010000}"/>
    <cellStyle name="Normal 4 2 8" xfId="367" xr:uid="{00000000-0005-0000-0000-00006F010000}"/>
    <cellStyle name="Normal 4 2 9" xfId="368" xr:uid="{00000000-0005-0000-0000-000070010000}"/>
    <cellStyle name="Normal 4 3" xfId="369" xr:uid="{00000000-0005-0000-0000-000071010000}"/>
    <cellStyle name="Normal 4 3 2" xfId="370" xr:uid="{00000000-0005-0000-0000-000072010000}"/>
    <cellStyle name="Normal 4 3 2 2" xfId="371" xr:uid="{00000000-0005-0000-0000-000073010000}"/>
    <cellStyle name="Normal 4 3 2 2 2" xfId="372" xr:uid="{00000000-0005-0000-0000-000074010000}"/>
    <cellStyle name="Normal 4 3 2 2 2 2" xfId="373" xr:uid="{00000000-0005-0000-0000-000075010000}"/>
    <cellStyle name="Normal 4 3 2 2 3" xfId="374" xr:uid="{00000000-0005-0000-0000-000076010000}"/>
    <cellStyle name="Normal 4 3 2 2 4" xfId="375" xr:uid="{00000000-0005-0000-0000-000077010000}"/>
    <cellStyle name="Normal 4 3 2 2 5" xfId="376" xr:uid="{00000000-0005-0000-0000-000078010000}"/>
    <cellStyle name="Normal 4 3 2 3" xfId="377" xr:uid="{00000000-0005-0000-0000-000079010000}"/>
    <cellStyle name="Normal 4 3 2 3 2" xfId="378" xr:uid="{00000000-0005-0000-0000-00007A010000}"/>
    <cellStyle name="Normal 4 3 2 4" xfId="379" xr:uid="{00000000-0005-0000-0000-00007B010000}"/>
    <cellStyle name="Normal 4 3 2 5" xfId="380" xr:uid="{00000000-0005-0000-0000-00007C010000}"/>
    <cellStyle name="Normal 4 3 2 6" xfId="381" xr:uid="{00000000-0005-0000-0000-00007D010000}"/>
    <cellStyle name="Normal 4 3 2 7" xfId="382" xr:uid="{00000000-0005-0000-0000-00007E010000}"/>
    <cellStyle name="Normal 4 3 3" xfId="383" xr:uid="{00000000-0005-0000-0000-00007F010000}"/>
    <cellStyle name="Normal 4 3 3 2" xfId="384" xr:uid="{00000000-0005-0000-0000-000080010000}"/>
    <cellStyle name="Normal 4 3 3 2 2" xfId="385" xr:uid="{00000000-0005-0000-0000-000081010000}"/>
    <cellStyle name="Normal 4 3 3 2 3" xfId="386" xr:uid="{00000000-0005-0000-0000-000082010000}"/>
    <cellStyle name="Normal 4 3 3 3" xfId="387" xr:uid="{00000000-0005-0000-0000-000083010000}"/>
    <cellStyle name="Normal 4 3 3 3 2" xfId="388" xr:uid="{00000000-0005-0000-0000-000084010000}"/>
    <cellStyle name="Normal 4 3 3 4" xfId="389" xr:uid="{00000000-0005-0000-0000-000085010000}"/>
    <cellStyle name="Normal 4 3 3 5" xfId="390" xr:uid="{00000000-0005-0000-0000-000086010000}"/>
    <cellStyle name="Normal 4 3 3 6" xfId="391" xr:uid="{00000000-0005-0000-0000-000087010000}"/>
    <cellStyle name="Normal 4 3 3 7" xfId="392" xr:uid="{00000000-0005-0000-0000-000088010000}"/>
    <cellStyle name="Normal 4 3 4" xfId="393" xr:uid="{00000000-0005-0000-0000-000089010000}"/>
    <cellStyle name="Normal 4 3 4 2" xfId="394" xr:uid="{00000000-0005-0000-0000-00008A010000}"/>
    <cellStyle name="Normal 4 3 4 2 2" xfId="395" xr:uid="{00000000-0005-0000-0000-00008B010000}"/>
    <cellStyle name="Normal 4 3 4 3" xfId="396" xr:uid="{00000000-0005-0000-0000-00008C010000}"/>
    <cellStyle name="Normal 4 3 4 4" xfId="397" xr:uid="{00000000-0005-0000-0000-00008D010000}"/>
    <cellStyle name="Normal 4 3 4 5" xfId="398" xr:uid="{00000000-0005-0000-0000-00008E010000}"/>
    <cellStyle name="Normal 4 3 5" xfId="399" xr:uid="{00000000-0005-0000-0000-00008F010000}"/>
    <cellStyle name="Normal 4 3 5 2" xfId="400" xr:uid="{00000000-0005-0000-0000-000090010000}"/>
    <cellStyle name="Normal 4 3 6" xfId="401" xr:uid="{00000000-0005-0000-0000-000091010000}"/>
    <cellStyle name="Normal 4 3 7" xfId="402" xr:uid="{00000000-0005-0000-0000-000092010000}"/>
    <cellStyle name="Normal 4 3 8" xfId="403" xr:uid="{00000000-0005-0000-0000-000093010000}"/>
    <cellStyle name="Normal 4 3 9" xfId="404" xr:uid="{00000000-0005-0000-0000-000094010000}"/>
    <cellStyle name="Normal 4 4" xfId="405" xr:uid="{00000000-0005-0000-0000-000095010000}"/>
    <cellStyle name="Normal 4 4 2" xfId="406" xr:uid="{00000000-0005-0000-0000-000096010000}"/>
    <cellStyle name="Normal 4 4 2 2" xfId="407" xr:uid="{00000000-0005-0000-0000-000097010000}"/>
    <cellStyle name="Normal 4 4 2 2 2" xfId="408" xr:uid="{00000000-0005-0000-0000-000098010000}"/>
    <cellStyle name="Normal 4 4 2 2 2 2" xfId="409" xr:uid="{00000000-0005-0000-0000-000099010000}"/>
    <cellStyle name="Normal 4 4 2 2 3" xfId="410" xr:uid="{00000000-0005-0000-0000-00009A010000}"/>
    <cellStyle name="Normal 4 4 2 2 4" xfId="411" xr:uid="{00000000-0005-0000-0000-00009B010000}"/>
    <cellStyle name="Normal 4 4 2 2 5" xfId="412" xr:uid="{00000000-0005-0000-0000-00009C010000}"/>
    <cellStyle name="Normal 4 4 2 3" xfId="413" xr:uid="{00000000-0005-0000-0000-00009D010000}"/>
    <cellStyle name="Normal 4 4 2 3 2" xfId="414" xr:uid="{00000000-0005-0000-0000-00009E010000}"/>
    <cellStyle name="Normal 4 4 2 4" xfId="415" xr:uid="{00000000-0005-0000-0000-00009F010000}"/>
    <cellStyle name="Normal 4 4 2 5" xfId="416" xr:uid="{00000000-0005-0000-0000-0000A0010000}"/>
    <cellStyle name="Normal 4 4 2 6" xfId="417" xr:uid="{00000000-0005-0000-0000-0000A1010000}"/>
    <cellStyle name="Normal 4 4 2 7" xfId="418" xr:uid="{00000000-0005-0000-0000-0000A2010000}"/>
    <cellStyle name="Normal 4 4 3" xfId="419" xr:uid="{00000000-0005-0000-0000-0000A3010000}"/>
    <cellStyle name="Normal 4 4 3 2" xfId="420" xr:uid="{00000000-0005-0000-0000-0000A4010000}"/>
    <cellStyle name="Normal 4 4 3 2 2" xfId="421" xr:uid="{00000000-0005-0000-0000-0000A5010000}"/>
    <cellStyle name="Normal 4 4 3 2 3" xfId="422" xr:uid="{00000000-0005-0000-0000-0000A6010000}"/>
    <cellStyle name="Normal 4 4 3 3" xfId="423" xr:uid="{00000000-0005-0000-0000-0000A7010000}"/>
    <cellStyle name="Normal 4 4 3 3 2" xfId="424" xr:uid="{00000000-0005-0000-0000-0000A8010000}"/>
    <cellStyle name="Normal 4 4 3 4" xfId="425" xr:uid="{00000000-0005-0000-0000-0000A9010000}"/>
    <cellStyle name="Normal 4 4 3 5" xfId="426" xr:uid="{00000000-0005-0000-0000-0000AA010000}"/>
    <cellStyle name="Normal 4 4 3 6" xfId="427" xr:uid="{00000000-0005-0000-0000-0000AB010000}"/>
    <cellStyle name="Normal 4 4 3 7" xfId="428" xr:uid="{00000000-0005-0000-0000-0000AC010000}"/>
    <cellStyle name="Normal 4 4 4" xfId="429" xr:uid="{00000000-0005-0000-0000-0000AD010000}"/>
    <cellStyle name="Normal 4 4 4 2" xfId="430" xr:uid="{00000000-0005-0000-0000-0000AE010000}"/>
    <cellStyle name="Normal 4 4 4 2 2" xfId="431" xr:uid="{00000000-0005-0000-0000-0000AF010000}"/>
    <cellStyle name="Normal 4 4 4 3" xfId="432" xr:uid="{00000000-0005-0000-0000-0000B0010000}"/>
    <cellStyle name="Normal 4 4 4 4" xfId="433" xr:uid="{00000000-0005-0000-0000-0000B1010000}"/>
    <cellStyle name="Normal 4 4 4 5" xfId="434" xr:uid="{00000000-0005-0000-0000-0000B2010000}"/>
    <cellStyle name="Normal 4 4 5" xfId="435" xr:uid="{00000000-0005-0000-0000-0000B3010000}"/>
    <cellStyle name="Normal 4 4 5 2" xfId="436" xr:uid="{00000000-0005-0000-0000-0000B4010000}"/>
    <cellStyle name="Normal 4 4 6" xfId="437" xr:uid="{00000000-0005-0000-0000-0000B5010000}"/>
    <cellStyle name="Normal 4 4 7" xfId="438" xr:uid="{00000000-0005-0000-0000-0000B6010000}"/>
    <cellStyle name="Normal 4 4 8" xfId="439" xr:uid="{00000000-0005-0000-0000-0000B7010000}"/>
    <cellStyle name="Normal 4 4 9" xfId="440" xr:uid="{00000000-0005-0000-0000-0000B8010000}"/>
    <cellStyle name="Normal 4 5" xfId="441" xr:uid="{00000000-0005-0000-0000-0000B9010000}"/>
    <cellStyle name="Normal 4 5 2" xfId="442" xr:uid="{00000000-0005-0000-0000-0000BA010000}"/>
    <cellStyle name="Normal 4 5 2 2" xfId="443" xr:uid="{00000000-0005-0000-0000-0000BB010000}"/>
    <cellStyle name="Normal 4 5 2 2 2" xfId="444" xr:uid="{00000000-0005-0000-0000-0000BC010000}"/>
    <cellStyle name="Normal 4 5 2 2 2 2" xfId="445" xr:uid="{00000000-0005-0000-0000-0000BD010000}"/>
    <cellStyle name="Normal 4 5 2 2 3" xfId="446" xr:uid="{00000000-0005-0000-0000-0000BE010000}"/>
    <cellStyle name="Normal 4 5 2 2 4" xfId="447" xr:uid="{00000000-0005-0000-0000-0000BF010000}"/>
    <cellStyle name="Normal 4 5 2 2 5" xfId="448" xr:uid="{00000000-0005-0000-0000-0000C0010000}"/>
    <cellStyle name="Normal 4 5 2 3" xfId="449" xr:uid="{00000000-0005-0000-0000-0000C1010000}"/>
    <cellStyle name="Normal 4 5 2 3 2" xfId="450" xr:uid="{00000000-0005-0000-0000-0000C2010000}"/>
    <cellStyle name="Normal 4 5 2 4" xfId="451" xr:uid="{00000000-0005-0000-0000-0000C3010000}"/>
    <cellStyle name="Normal 4 5 2 5" xfId="452" xr:uid="{00000000-0005-0000-0000-0000C4010000}"/>
    <cellStyle name="Normal 4 5 2 6" xfId="453" xr:uid="{00000000-0005-0000-0000-0000C5010000}"/>
    <cellStyle name="Normal 4 5 2 7" xfId="454" xr:uid="{00000000-0005-0000-0000-0000C6010000}"/>
    <cellStyle name="Normal 4 5 3" xfId="455" xr:uid="{00000000-0005-0000-0000-0000C7010000}"/>
    <cellStyle name="Normal 4 5 3 2" xfId="456" xr:uid="{00000000-0005-0000-0000-0000C8010000}"/>
    <cellStyle name="Normal 4 5 3 2 2" xfId="457" xr:uid="{00000000-0005-0000-0000-0000C9010000}"/>
    <cellStyle name="Normal 4 5 3 2 3" xfId="458" xr:uid="{00000000-0005-0000-0000-0000CA010000}"/>
    <cellStyle name="Normal 4 5 3 3" xfId="459" xr:uid="{00000000-0005-0000-0000-0000CB010000}"/>
    <cellStyle name="Normal 4 5 3 3 2" xfId="460" xr:uid="{00000000-0005-0000-0000-0000CC010000}"/>
    <cellStyle name="Normal 4 5 3 4" xfId="461" xr:uid="{00000000-0005-0000-0000-0000CD010000}"/>
    <cellStyle name="Normal 4 5 3 5" xfId="462" xr:uid="{00000000-0005-0000-0000-0000CE010000}"/>
    <cellStyle name="Normal 4 5 3 6" xfId="463" xr:uid="{00000000-0005-0000-0000-0000CF010000}"/>
    <cellStyle name="Normal 4 5 3 7" xfId="464" xr:uid="{00000000-0005-0000-0000-0000D0010000}"/>
    <cellStyle name="Normal 4 5 4" xfId="465" xr:uid="{00000000-0005-0000-0000-0000D1010000}"/>
    <cellStyle name="Normal 4 5 4 2" xfId="466" xr:uid="{00000000-0005-0000-0000-0000D2010000}"/>
    <cellStyle name="Normal 4 5 4 2 2" xfId="467" xr:uid="{00000000-0005-0000-0000-0000D3010000}"/>
    <cellStyle name="Normal 4 5 4 3" xfId="468" xr:uid="{00000000-0005-0000-0000-0000D4010000}"/>
    <cellStyle name="Normal 4 5 4 4" xfId="469" xr:uid="{00000000-0005-0000-0000-0000D5010000}"/>
    <cellStyle name="Normal 4 5 4 5" xfId="470" xr:uid="{00000000-0005-0000-0000-0000D6010000}"/>
    <cellStyle name="Normal 4 5 5" xfId="471" xr:uid="{00000000-0005-0000-0000-0000D7010000}"/>
    <cellStyle name="Normal 4 5 5 2" xfId="472" xr:uid="{00000000-0005-0000-0000-0000D8010000}"/>
    <cellStyle name="Normal 4 5 6" xfId="473" xr:uid="{00000000-0005-0000-0000-0000D9010000}"/>
    <cellStyle name="Normal 4 5 7" xfId="474" xr:uid="{00000000-0005-0000-0000-0000DA010000}"/>
    <cellStyle name="Normal 4 5 8" xfId="475" xr:uid="{00000000-0005-0000-0000-0000DB010000}"/>
    <cellStyle name="Normal 4 5 9" xfId="476" xr:uid="{00000000-0005-0000-0000-0000DC010000}"/>
    <cellStyle name="Normal 4 6" xfId="477" xr:uid="{00000000-0005-0000-0000-0000DD010000}"/>
    <cellStyle name="Normal 4 6 2" xfId="478" xr:uid="{00000000-0005-0000-0000-0000DE010000}"/>
    <cellStyle name="Normal 4 6 2 2" xfId="479" xr:uid="{00000000-0005-0000-0000-0000DF010000}"/>
    <cellStyle name="Normal 4 6 2 2 2" xfId="480" xr:uid="{00000000-0005-0000-0000-0000E0010000}"/>
    <cellStyle name="Normal 4 6 2 3" xfId="481" xr:uid="{00000000-0005-0000-0000-0000E1010000}"/>
    <cellStyle name="Normal 4 6 2 4" xfId="482" xr:uid="{00000000-0005-0000-0000-0000E2010000}"/>
    <cellStyle name="Normal 4 6 2 5" xfId="483" xr:uid="{00000000-0005-0000-0000-0000E3010000}"/>
    <cellStyle name="Normal 4 6 3" xfId="484" xr:uid="{00000000-0005-0000-0000-0000E4010000}"/>
    <cellStyle name="Normal 4 6 3 2" xfId="485" xr:uid="{00000000-0005-0000-0000-0000E5010000}"/>
    <cellStyle name="Normal 4 6 4" xfId="486" xr:uid="{00000000-0005-0000-0000-0000E6010000}"/>
    <cellStyle name="Normal 4 6 5" xfId="487" xr:uid="{00000000-0005-0000-0000-0000E7010000}"/>
    <cellStyle name="Normal 4 6 6" xfId="488" xr:uid="{00000000-0005-0000-0000-0000E8010000}"/>
    <cellStyle name="Normal 4 6 7" xfId="489" xr:uid="{00000000-0005-0000-0000-0000E9010000}"/>
    <cellStyle name="Normal 4 7" xfId="490" xr:uid="{00000000-0005-0000-0000-0000EA010000}"/>
    <cellStyle name="Normal 4 7 2" xfId="491" xr:uid="{00000000-0005-0000-0000-0000EB010000}"/>
    <cellStyle name="Normal 4 7 2 2" xfId="492" xr:uid="{00000000-0005-0000-0000-0000EC010000}"/>
    <cellStyle name="Normal 4 7 2 3" xfId="493" xr:uid="{00000000-0005-0000-0000-0000ED010000}"/>
    <cellStyle name="Normal 4 7 3" xfId="494" xr:uid="{00000000-0005-0000-0000-0000EE010000}"/>
    <cellStyle name="Normal 4 7 3 2" xfId="495" xr:uid="{00000000-0005-0000-0000-0000EF010000}"/>
    <cellStyle name="Normal 4 7 4" xfId="496" xr:uid="{00000000-0005-0000-0000-0000F0010000}"/>
    <cellStyle name="Normal 4 7 5" xfId="497" xr:uid="{00000000-0005-0000-0000-0000F1010000}"/>
    <cellStyle name="Normal 4 7 6" xfId="498" xr:uid="{00000000-0005-0000-0000-0000F2010000}"/>
    <cellStyle name="Normal 4 7 7" xfId="499" xr:uid="{00000000-0005-0000-0000-0000F3010000}"/>
    <cellStyle name="Normal 4 8" xfId="500" xr:uid="{00000000-0005-0000-0000-0000F4010000}"/>
    <cellStyle name="Normal 4 8 2" xfId="501" xr:uid="{00000000-0005-0000-0000-0000F5010000}"/>
    <cellStyle name="Normal 4 8 2 2" xfId="502" xr:uid="{00000000-0005-0000-0000-0000F6010000}"/>
    <cellStyle name="Normal 4 8 3" xfId="503" xr:uid="{00000000-0005-0000-0000-0000F7010000}"/>
    <cellStyle name="Normal 4 8 4" xfId="504" xr:uid="{00000000-0005-0000-0000-0000F8010000}"/>
    <cellStyle name="Normal 4 8 5" xfId="505" xr:uid="{00000000-0005-0000-0000-0000F9010000}"/>
    <cellStyle name="Normal 4 9" xfId="506" xr:uid="{00000000-0005-0000-0000-0000FA010000}"/>
    <cellStyle name="Normal 4 9 2" xfId="507" xr:uid="{00000000-0005-0000-0000-0000FB010000}"/>
    <cellStyle name="Note" xfId="544" builtinId="10" customBuiltin="1"/>
    <cellStyle name="Output" xfId="545" builtinId="21" customBuiltin="1"/>
    <cellStyle name="Title" xfId="546" builtinId="15" customBuiltin="1"/>
    <cellStyle name="Total" xfId="547" builtinId="25" customBuiltin="1"/>
    <cellStyle name="Warning Text" xfId="548" builtinId="11" customBuiltin="1"/>
  </cellStyles>
  <dxfs count="0"/>
  <tableStyles count="0" defaultTableStyle="TableStyleMedium9" defaultPivotStyle="PivotStyleLight16"/>
  <colors>
    <mruColors>
      <color rgb="FFA5002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723900</xdr:colOff>
          <xdr:row>0</xdr:row>
          <xdr:rowOff>138113</xdr:rowOff>
        </xdr:from>
        <xdr:to>
          <xdr:col>1</xdr:col>
          <xdr:colOff>785813</xdr:colOff>
          <xdr:row>2</xdr:row>
          <xdr:rowOff>23813</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round/>
                  <a:headEnd/>
                  <a:tailEnd/>
                </a14:hiddenLine>
              </a:ext>
            </a:extLst>
          </xdr:spPr>
          <xdr:txBody>
            <a:bodyPr vertOverflow="clip" wrap="square" lIns="36195" tIns="31750" rIns="36195" bIns="31750" anchor="ctr" upright="1"/>
            <a:lstStyle/>
            <a:p>
              <a:pPr algn="ctr" rtl="0">
                <a:defRPr sz="1000"/>
              </a:pPr>
              <a:r>
                <a:rPr lang="en-US" sz="1100" b="0" i="0" u="none" strike="noStrike" baseline="0">
                  <a:solidFill>
                    <a:srgbClr val="000000"/>
                  </a:solidFill>
                  <a:latin typeface="Calibri"/>
                  <a:ea typeface="Calibri"/>
                  <a:cs typeface="Calibri"/>
                </a:rPr>
                <a:t>Update Env Details</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aibuddy-app.tatacapital.com/" TargetMode="External"/><Relationship Id="rId2" Type="http://schemas.openxmlformats.org/officeDocument/2006/relationships/hyperlink" Target="http://172.17.140.7:8085/ICDService/services/ChangeBusinessDayInterface?wsdl" TargetMode="External"/><Relationship Id="rId1" Type="http://schemas.openxmlformats.org/officeDocument/2006/relationships/hyperlink" Target="http://172.17.140.7:8183/jbeamicd?wsdl"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76"/>
  <sheetViews>
    <sheetView tabSelected="1" zoomScaleNormal="100" workbookViewId="0">
      <selection activeCell="D9" sqref="D9"/>
    </sheetView>
  </sheetViews>
  <sheetFormatPr defaultColWidth="9.1328125" defaultRowHeight="13.15" x14ac:dyDescent="0.4"/>
  <cols>
    <col min="1" max="1" width="34.1328125" style="4" bestFit="1" customWidth="1"/>
    <col min="2" max="2" width="110.6640625" style="5" bestFit="1" customWidth="1"/>
    <col min="3" max="3" width="38.53125" style="4" bestFit="1" customWidth="1"/>
    <col min="4" max="256" width="9.1328125" style="4"/>
    <col min="257" max="257" width="33" style="4" bestFit="1" customWidth="1"/>
    <col min="258" max="258" width="123" style="4" bestFit="1" customWidth="1"/>
    <col min="259" max="512" width="9.1328125" style="4"/>
    <col min="513" max="513" width="33" style="4" bestFit="1" customWidth="1"/>
    <col min="514" max="514" width="123" style="4" bestFit="1" customWidth="1"/>
    <col min="515" max="768" width="9.1328125" style="4"/>
    <col min="769" max="769" width="33" style="4" bestFit="1" customWidth="1"/>
    <col min="770" max="770" width="123" style="4" bestFit="1" customWidth="1"/>
    <col min="771" max="1024" width="9.1328125" style="4"/>
    <col min="1025" max="1025" width="33" style="4" bestFit="1" customWidth="1"/>
    <col min="1026" max="1026" width="123" style="4" bestFit="1" customWidth="1"/>
    <col min="1027" max="1280" width="9.1328125" style="4"/>
    <col min="1281" max="1281" width="33" style="4" bestFit="1" customWidth="1"/>
    <col min="1282" max="1282" width="123" style="4" bestFit="1" customWidth="1"/>
    <col min="1283" max="1536" width="9.1328125" style="4"/>
    <col min="1537" max="1537" width="33" style="4" bestFit="1" customWidth="1"/>
    <col min="1538" max="1538" width="123" style="4" bestFit="1" customWidth="1"/>
    <col min="1539" max="1792" width="9.1328125" style="4"/>
    <col min="1793" max="1793" width="33" style="4" bestFit="1" customWidth="1"/>
    <col min="1794" max="1794" width="123" style="4" bestFit="1" customWidth="1"/>
    <col min="1795" max="2048" width="9.1328125" style="4"/>
    <col min="2049" max="2049" width="33" style="4" bestFit="1" customWidth="1"/>
    <col min="2050" max="2050" width="123" style="4" bestFit="1" customWidth="1"/>
    <col min="2051" max="2304" width="9.1328125" style="4"/>
    <col min="2305" max="2305" width="33" style="4" bestFit="1" customWidth="1"/>
    <col min="2306" max="2306" width="123" style="4" bestFit="1" customWidth="1"/>
    <col min="2307" max="2560" width="9.1328125" style="4"/>
    <col min="2561" max="2561" width="33" style="4" bestFit="1" customWidth="1"/>
    <col min="2562" max="2562" width="123" style="4" bestFit="1" customWidth="1"/>
    <col min="2563" max="2816" width="9.1328125" style="4"/>
    <col min="2817" max="2817" width="33" style="4" bestFit="1" customWidth="1"/>
    <col min="2818" max="2818" width="123" style="4" bestFit="1" customWidth="1"/>
    <col min="2819" max="3072" width="9.1328125" style="4"/>
    <col min="3073" max="3073" width="33" style="4" bestFit="1" customWidth="1"/>
    <col min="3074" max="3074" width="123" style="4" bestFit="1" customWidth="1"/>
    <col min="3075" max="3328" width="9.1328125" style="4"/>
    <col min="3329" max="3329" width="33" style="4" bestFit="1" customWidth="1"/>
    <col min="3330" max="3330" width="123" style="4" bestFit="1" customWidth="1"/>
    <col min="3331" max="3584" width="9.1328125" style="4"/>
    <col min="3585" max="3585" width="33" style="4" bestFit="1" customWidth="1"/>
    <col min="3586" max="3586" width="123" style="4" bestFit="1" customWidth="1"/>
    <col min="3587" max="3840" width="9.1328125" style="4"/>
    <col min="3841" max="3841" width="33" style="4" bestFit="1" customWidth="1"/>
    <col min="3842" max="3842" width="123" style="4" bestFit="1" customWidth="1"/>
    <col min="3843" max="4096" width="9.1328125" style="4"/>
    <col min="4097" max="4097" width="33" style="4" bestFit="1" customWidth="1"/>
    <col min="4098" max="4098" width="123" style="4" bestFit="1" customWidth="1"/>
    <col min="4099" max="4352" width="9.1328125" style="4"/>
    <col min="4353" max="4353" width="33" style="4" bestFit="1" customWidth="1"/>
    <col min="4354" max="4354" width="123" style="4" bestFit="1" customWidth="1"/>
    <col min="4355" max="4608" width="9.1328125" style="4"/>
    <col min="4609" max="4609" width="33" style="4" bestFit="1" customWidth="1"/>
    <col min="4610" max="4610" width="123" style="4" bestFit="1" customWidth="1"/>
    <col min="4611" max="4864" width="9.1328125" style="4"/>
    <col min="4865" max="4865" width="33" style="4" bestFit="1" customWidth="1"/>
    <col min="4866" max="4866" width="123" style="4" bestFit="1" customWidth="1"/>
    <col min="4867" max="5120" width="9.1328125" style="4"/>
    <col min="5121" max="5121" width="33" style="4" bestFit="1" customWidth="1"/>
    <col min="5122" max="5122" width="123" style="4" bestFit="1" customWidth="1"/>
    <col min="5123" max="5376" width="9.1328125" style="4"/>
    <col min="5377" max="5377" width="33" style="4" bestFit="1" customWidth="1"/>
    <col min="5378" max="5378" width="123" style="4" bestFit="1" customWidth="1"/>
    <col min="5379" max="5632" width="9.1328125" style="4"/>
    <col min="5633" max="5633" width="33" style="4" bestFit="1" customWidth="1"/>
    <col min="5634" max="5634" width="123" style="4" bestFit="1" customWidth="1"/>
    <col min="5635" max="5888" width="9.1328125" style="4"/>
    <col min="5889" max="5889" width="33" style="4" bestFit="1" customWidth="1"/>
    <col min="5890" max="5890" width="123" style="4" bestFit="1" customWidth="1"/>
    <col min="5891" max="6144" width="9.1328125" style="4"/>
    <col min="6145" max="6145" width="33" style="4" bestFit="1" customWidth="1"/>
    <col min="6146" max="6146" width="123" style="4" bestFit="1" customWidth="1"/>
    <col min="6147" max="6400" width="9.1328125" style="4"/>
    <col min="6401" max="6401" width="33" style="4" bestFit="1" customWidth="1"/>
    <col min="6402" max="6402" width="123" style="4" bestFit="1" customWidth="1"/>
    <col min="6403" max="6656" width="9.1328125" style="4"/>
    <col min="6657" max="6657" width="33" style="4" bestFit="1" customWidth="1"/>
    <col min="6658" max="6658" width="123" style="4" bestFit="1" customWidth="1"/>
    <col min="6659" max="6912" width="9.1328125" style="4"/>
    <col min="6913" max="6913" width="33" style="4" bestFit="1" customWidth="1"/>
    <col min="6914" max="6914" width="123" style="4" bestFit="1" customWidth="1"/>
    <col min="6915" max="7168" width="9.1328125" style="4"/>
    <col min="7169" max="7169" width="33" style="4" bestFit="1" customWidth="1"/>
    <col min="7170" max="7170" width="123" style="4" bestFit="1" customWidth="1"/>
    <col min="7171" max="7424" width="9.1328125" style="4"/>
    <col min="7425" max="7425" width="33" style="4" bestFit="1" customWidth="1"/>
    <col min="7426" max="7426" width="123" style="4" bestFit="1" customWidth="1"/>
    <col min="7427" max="7680" width="9.1328125" style="4"/>
    <col min="7681" max="7681" width="33" style="4" bestFit="1" customWidth="1"/>
    <col min="7682" max="7682" width="123" style="4" bestFit="1" customWidth="1"/>
    <col min="7683" max="7936" width="9.1328125" style="4"/>
    <col min="7937" max="7937" width="33" style="4" bestFit="1" customWidth="1"/>
    <col min="7938" max="7938" width="123" style="4" bestFit="1" customWidth="1"/>
    <col min="7939" max="8192" width="9.1328125" style="4"/>
    <col min="8193" max="8193" width="33" style="4" bestFit="1" customWidth="1"/>
    <col min="8194" max="8194" width="123" style="4" bestFit="1" customWidth="1"/>
    <col min="8195" max="8448" width="9.1328125" style="4"/>
    <col min="8449" max="8449" width="33" style="4" bestFit="1" customWidth="1"/>
    <col min="8450" max="8450" width="123" style="4" bestFit="1" customWidth="1"/>
    <col min="8451" max="8704" width="9.1328125" style="4"/>
    <col min="8705" max="8705" width="33" style="4" bestFit="1" customWidth="1"/>
    <col min="8706" max="8706" width="123" style="4" bestFit="1" customWidth="1"/>
    <col min="8707" max="8960" width="9.1328125" style="4"/>
    <col min="8961" max="8961" width="33" style="4" bestFit="1" customWidth="1"/>
    <col min="8962" max="8962" width="123" style="4" bestFit="1" customWidth="1"/>
    <col min="8963" max="9216" width="9.1328125" style="4"/>
    <col min="9217" max="9217" width="33" style="4" bestFit="1" customWidth="1"/>
    <col min="9218" max="9218" width="123" style="4" bestFit="1" customWidth="1"/>
    <col min="9219" max="9472" width="9.1328125" style="4"/>
    <col min="9473" max="9473" width="33" style="4" bestFit="1" customWidth="1"/>
    <col min="9474" max="9474" width="123" style="4" bestFit="1" customWidth="1"/>
    <col min="9475" max="9728" width="9.1328125" style="4"/>
    <col min="9729" max="9729" width="33" style="4" bestFit="1" customWidth="1"/>
    <col min="9730" max="9730" width="123" style="4" bestFit="1" customWidth="1"/>
    <col min="9731" max="9984" width="9.1328125" style="4"/>
    <col min="9985" max="9985" width="33" style="4" bestFit="1" customWidth="1"/>
    <col min="9986" max="9986" width="123" style="4" bestFit="1" customWidth="1"/>
    <col min="9987" max="10240" width="9.1328125" style="4"/>
    <col min="10241" max="10241" width="33" style="4" bestFit="1" customWidth="1"/>
    <col min="10242" max="10242" width="123" style="4" bestFit="1" customWidth="1"/>
    <col min="10243" max="10496" width="9.1328125" style="4"/>
    <col min="10497" max="10497" width="33" style="4" bestFit="1" customWidth="1"/>
    <col min="10498" max="10498" width="123" style="4" bestFit="1" customWidth="1"/>
    <col min="10499" max="10752" width="9.1328125" style="4"/>
    <col min="10753" max="10753" width="33" style="4" bestFit="1" customWidth="1"/>
    <col min="10754" max="10754" width="123" style="4" bestFit="1" customWidth="1"/>
    <col min="10755" max="11008" width="9.1328125" style="4"/>
    <col min="11009" max="11009" width="33" style="4" bestFit="1" customWidth="1"/>
    <col min="11010" max="11010" width="123" style="4" bestFit="1" customWidth="1"/>
    <col min="11011" max="11264" width="9.1328125" style="4"/>
    <col min="11265" max="11265" width="33" style="4" bestFit="1" customWidth="1"/>
    <col min="11266" max="11266" width="123" style="4" bestFit="1" customWidth="1"/>
    <col min="11267" max="11520" width="9.1328125" style="4"/>
    <col min="11521" max="11521" width="33" style="4" bestFit="1" customWidth="1"/>
    <col min="11522" max="11522" width="123" style="4" bestFit="1" customWidth="1"/>
    <col min="11523" max="11776" width="9.1328125" style="4"/>
    <col min="11777" max="11777" width="33" style="4" bestFit="1" customWidth="1"/>
    <col min="11778" max="11778" width="123" style="4" bestFit="1" customWidth="1"/>
    <col min="11779" max="12032" width="9.1328125" style="4"/>
    <col min="12033" max="12033" width="33" style="4" bestFit="1" customWidth="1"/>
    <col min="12034" max="12034" width="123" style="4" bestFit="1" customWidth="1"/>
    <col min="12035" max="12288" width="9.1328125" style="4"/>
    <col min="12289" max="12289" width="33" style="4" bestFit="1" customWidth="1"/>
    <col min="12290" max="12290" width="123" style="4" bestFit="1" customWidth="1"/>
    <col min="12291" max="12544" width="9.1328125" style="4"/>
    <col min="12545" max="12545" width="33" style="4" bestFit="1" customWidth="1"/>
    <col min="12546" max="12546" width="123" style="4" bestFit="1" customWidth="1"/>
    <col min="12547" max="12800" width="9.1328125" style="4"/>
    <col min="12801" max="12801" width="33" style="4" bestFit="1" customWidth="1"/>
    <col min="12802" max="12802" width="123" style="4" bestFit="1" customWidth="1"/>
    <col min="12803" max="13056" width="9.1328125" style="4"/>
    <col min="13057" max="13057" width="33" style="4" bestFit="1" customWidth="1"/>
    <col min="13058" max="13058" width="123" style="4" bestFit="1" customWidth="1"/>
    <col min="13059" max="13312" width="9.1328125" style="4"/>
    <col min="13313" max="13313" width="33" style="4" bestFit="1" customWidth="1"/>
    <col min="13314" max="13314" width="123" style="4" bestFit="1" customWidth="1"/>
    <col min="13315" max="13568" width="9.1328125" style="4"/>
    <col min="13569" max="13569" width="33" style="4" bestFit="1" customWidth="1"/>
    <col min="13570" max="13570" width="123" style="4" bestFit="1" customWidth="1"/>
    <col min="13571" max="13824" width="9.1328125" style="4"/>
    <col min="13825" max="13825" width="33" style="4" bestFit="1" customWidth="1"/>
    <col min="13826" max="13826" width="123" style="4" bestFit="1" customWidth="1"/>
    <col min="13827" max="14080" width="9.1328125" style="4"/>
    <col min="14081" max="14081" width="33" style="4" bestFit="1" customWidth="1"/>
    <col min="14082" max="14082" width="123" style="4" bestFit="1" customWidth="1"/>
    <col min="14083" max="14336" width="9.1328125" style="4"/>
    <col min="14337" max="14337" width="33" style="4" bestFit="1" customWidth="1"/>
    <col min="14338" max="14338" width="123" style="4" bestFit="1" customWidth="1"/>
    <col min="14339" max="14592" width="9.1328125" style="4"/>
    <col min="14593" max="14593" width="33" style="4" bestFit="1" customWidth="1"/>
    <col min="14594" max="14594" width="123" style="4" bestFit="1" customWidth="1"/>
    <col min="14595" max="14848" width="9.1328125" style="4"/>
    <col min="14849" max="14849" width="33" style="4" bestFit="1" customWidth="1"/>
    <col min="14850" max="14850" width="123" style="4" bestFit="1" customWidth="1"/>
    <col min="14851" max="15104" width="9.1328125" style="4"/>
    <col min="15105" max="15105" width="33" style="4" bestFit="1" customWidth="1"/>
    <col min="15106" max="15106" width="123" style="4" bestFit="1" customWidth="1"/>
    <col min="15107" max="15360" width="9.1328125" style="4"/>
    <col min="15361" max="15361" width="33" style="4" bestFit="1" customWidth="1"/>
    <col min="15362" max="15362" width="123" style="4" bestFit="1" customWidth="1"/>
    <col min="15363" max="15616" width="9.1328125" style="4"/>
    <col min="15617" max="15617" width="33" style="4" bestFit="1" customWidth="1"/>
    <col min="15618" max="15618" width="123" style="4" bestFit="1" customWidth="1"/>
    <col min="15619" max="15872" width="9.1328125" style="4"/>
    <col min="15873" max="15873" width="33" style="4" bestFit="1" customWidth="1"/>
    <col min="15874" max="15874" width="123" style="4" bestFit="1" customWidth="1"/>
    <col min="15875" max="16128" width="9.1328125" style="4"/>
    <col min="16129" max="16129" width="33" style="4" bestFit="1" customWidth="1"/>
    <col min="16130" max="16130" width="123" style="4" bestFit="1" customWidth="1"/>
    <col min="16131" max="16384" width="9.1328125" style="4"/>
  </cols>
  <sheetData>
    <row r="1" spans="1:3" s="1" customFormat="1" x14ac:dyDescent="0.4">
      <c r="A1" s="6" t="s">
        <v>0</v>
      </c>
      <c r="B1" s="58" t="s">
        <v>1</v>
      </c>
    </row>
    <row r="2" spans="1:3" x14ac:dyDescent="0.4">
      <c r="A2" s="7" t="s">
        <v>2</v>
      </c>
      <c r="B2" s="8" t="s">
        <v>3</v>
      </c>
    </row>
    <row r="3" spans="1:3" x14ac:dyDescent="0.4">
      <c r="A3" s="7" t="s">
        <v>4</v>
      </c>
      <c r="B3" s="8">
        <v>2003</v>
      </c>
    </row>
    <row r="4" spans="1:3" ht="14.25" x14ac:dyDescent="0.4">
      <c r="A4" s="7" t="s">
        <v>5</v>
      </c>
      <c r="B4" s="9" t="s">
        <v>122</v>
      </c>
      <c r="C4" s="10"/>
    </row>
    <row r="5" spans="1:3" x14ac:dyDescent="0.4">
      <c r="A5" s="7" t="s">
        <v>6</v>
      </c>
      <c r="B5" s="8" t="s">
        <v>7</v>
      </c>
    </row>
    <row r="6" spans="1:3" ht="14.25" x14ac:dyDescent="0.45">
      <c r="A6" s="7" t="s">
        <v>8</v>
      </c>
      <c r="B6" t="s">
        <v>9</v>
      </c>
    </row>
    <row r="7" spans="1:3" x14ac:dyDescent="0.4">
      <c r="A7" s="7" t="s">
        <v>10</v>
      </c>
      <c r="B7" s="7" t="s">
        <v>11</v>
      </c>
    </row>
    <row r="8" spans="1:3" x14ac:dyDescent="0.4">
      <c r="A8" s="7" t="s">
        <v>12</v>
      </c>
      <c r="B8" s="8" t="b">
        <v>0</v>
      </c>
    </row>
    <row r="9" spans="1:3" x14ac:dyDescent="0.4">
      <c r="A9" s="7" t="s">
        <v>13</v>
      </c>
      <c r="B9" s="11">
        <v>180</v>
      </c>
    </row>
    <row r="10" spans="1:3" ht="14.25" x14ac:dyDescent="0.45">
      <c r="A10" s="7" t="s">
        <v>14</v>
      </c>
      <c r="B10" s="12"/>
    </row>
    <row r="11" spans="1:3" ht="15.4" x14ac:dyDescent="0.4">
      <c r="A11" s="7" t="s">
        <v>15</v>
      </c>
      <c r="B11" s="7" t="s">
        <v>16</v>
      </c>
      <c r="C11" s="13"/>
    </row>
    <row r="12" spans="1:3" x14ac:dyDescent="0.4">
      <c r="A12" s="7" t="s">
        <v>17</v>
      </c>
      <c r="B12" s="7" t="s">
        <v>18</v>
      </c>
    </row>
    <row r="13" spans="1:3" x14ac:dyDescent="0.4">
      <c r="A13" s="7" t="s">
        <v>19</v>
      </c>
      <c r="B13" s="7" t="str">
        <f>"C:\Users\apurva\Workspace\AutomationPacks\" &amp; $B$2 &amp; "\CommonResources\MainController.xlsx"</f>
        <v>C:\Users\apurva\Workspace\AutomationPacks\RegressionTesting_1\CommonResources\MainController.xlsx</v>
      </c>
    </row>
    <row r="14" spans="1:3" x14ac:dyDescent="0.4">
      <c r="A14" s="7" t="s">
        <v>20</v>
      </c>
      <c r="B14" s="7" t="str">
        <f>"C:\Users\apurva\Workspace\AutomationPacks\" &amp; $B$2 &amp; "\CommonResources\Transaction_Input_Files.xlsx"</f>
        <v>C:\Users\apurva\Workspace\AutomationPacks\RegressionTesting_1\CommonResources\Transaction_Input_Files.xlsx</v>
      </c>
    </row>
    <row r="15" spans="1:3" x14ac:dyDescent="0.4">
      <c r="A15" s="7" t="s">
        <v>21</v>
      </c>
      <c r="B15" s="7" t="str">
        <f>"C:\Users\apurva\Workspace\AutomationPacks\" &amp; $B$2 &amp; "\Resources\Results\CompareDetailed_Results.csv"</f>
        <v>C:\Users\apurva\Workspace\AutomationPacks\RegressionTesting_1\Resources\Results\CompareDetailed_Results.csv</v>
      </c>
    </row>
    <row r="16" spans="1:3" x14ac:dyDescent="0.4">
      <c r="A16" s="7" t="s">
        <v>22</v>
      </c>
      <c r="B16" s="7" t="str">
        <f>"C:\Users\apurva\Workspace\AutomationPacks\" &amp; $B$2 &amp; "\Resources\Input\"</f>
        <v>C:\Users\apurva\Workspace\AutomationPacks\RegressionTesting_1\Resources\Input\</v>
      </c>
    </row>
    <row r="17" spans="1:3" x14ac:dyDescent="0.4">
      <c r="A17" s="14" t="s">
        <v>23</v>
      </c>
      <c r="B17" s="14" t="s">
        <v>121</v>
      </c>
      <c r="C17" s="15"/>
    </row>
    <row r="18" spans="1:3" x14ac:dyDescent="0.4">
      <c r="A18" s="7" t="s">
        <v>24</v>
      </c>
      <c r="B18" s="7" t="str">
        <f>"C:\Users\apurva\Workspace\AutomationPacks\" &amp; $B$2 &amp; "\Resources\Results\SummaryResults.csv"</f>
        <v>C:\Users\apurva\Workspace\AutomationPacks\RegressionTesting_1\Resources\Results\SummaryResults.csv</v>
      </c>
    </row>
    <row r="19" spans="1:3" x14ac:dyDescent="0.4">
      <c r="A19" s="7" t="s">
        <v>25</v>
      </c>
      <c r="B19" s="7" t="str">
        <f>"C:\Users\apurva\Workspace\AutomationPacks\" &amp; $B$2 &amp; "\Resources\VerificationExpectedData\"</f>
        <v>C:\Users\apurva\Workspace\AutomationPacks\RegressionTesting_1\Resources\VerificationExpectedData\</v>
      </c>
    </row>
    <row r="20" spans="1:3" x14ac:dyDescent="0.4">
      <c r="A20" s="7" t="s">
        <v>26</v>
      </c>
      <c r="B20" s="7" t="str">
        <f>"C:\Users\apurva\Workspace\AutomationPacks\" &amp; $B$2 &amp; "\Resources\Verification\"</f>
        <v>C:\Users\apurva\Workspace\AutomationPacks\RegressionTesting_1\Resources\Verification\</v>
      </c>
    </row>
    <row r="21" spans="1:3" x14ac:dyDescent="0.4">
      <c r="A21" s="7" t="s">
        <v>27</v>
      </c>
      <c r="B21" s="7" t="str">
        <f>"C:\Users\apurva\Workspace\AutomationPacks\" &amp; $B$2 &amp; "\CommonResources\UniqueNumber.xlsx"</f>
        <v>C:\Users\apurva\Workspace\AutomationPacks\RegressionTesting_1\CommonResources\UniqueNumber.xlsx</v>
      </c>
    </row>
    <row r="22" spans="1:3" x14ac:dyDescent="0.4">
      <c r="A22" s="7" t="s">
        <v>28</v>
      </c>
      <c r="B22" s="7" t="str">
        <f>"C:\Users\apurva\Workspace\AutomationPacks\" &amp; $B$2 &amp; "\CommonResources\VerificationTableList.xlsx"</f>
        <v>C:\Users\apurva\Workspace\AutomationPacks\RegressionTesting_1\CommonResources\VerificationTableList.xlsx</v>
      </c>
    </row>
    <row r="23" spans="1:3" x14ac:dyDescent="0.4">
      <c r="A23" s="7" t="s">
        <v>29</v>
      </c>
      <c r="B23" s="8" t="str">
        <f>"C:\Users\apurva\Workspace\AutomationPacks\" &amp; $B$2 &amp; "\Templates\"</f>
        <v>C:\Users\apurva\Workspace\AutomationPacks\RegressionTesting_1\Templates\</v>
      </c>
    </row>
    <row r="24" spans="1:3" x14ac:dyDescent="0.4">
      <c r="A24" s="7" t="s">
        <v>30</v>
      </c>
      <c r="B24" s="8" t="str">
        <f>"C:\Users\apurva\Workspace\AutomationPacks\" &amp; $B$2 &amp; "\Resources\Results\"</f>
        <v>C:\Users\apurva\Workspace\AutomationPacks\RegressionTesting_1\Resources\Results\</v>
      </c>
    </row>
    <row r="25" spans="1:3" x14ac:dyDescent="0.4">
      <c r="A25" s="7" t="s">
        <v>31</v>
      </c>
      <c r="B25" s="8" t="str">
        <f>"C:\Users\apurva\Workspace\AutomationPacks\" &amp; $B$2 &amp; "\Resources\Results\DetailedResults.csv"</f>
        <v>C:\Users\apurva\Workspace\AutomationPacks\RegressionTesting_1\Resources\Results\DetailedResults.csv</v>
      </c>
    </row>
    <row r="26" spans="1:3" x14ac:dyDescent="0.4">
      <c r="A26" s="7" t="s">
        <v>32</v>
      </c>
      <c r="B26" s="7" t="str">
        <f>"C:\Users\apurva\Workspace\AutomationPacks\" &amp; $B$2 &amp; "\Resources\Results\Results_Dashboard_Utility.xlsm"</f>
        <v>C:\Users\apurva\Workspace\AutomationPacks\RegressionTesting_1\Resources\Results\Results_Dashboard_Utility.xlsm</v>
      </c>
    </row>
    <row r="27" spans="1:3" ht="14.25" x14ac:dyDescent="0.45">
      <c r="A27" s="16" t="s">
        <v>33</v>
      </c>
      <c r="B27" s="17" t="s">
        <v>34</v>
      </c>
    </row>
    <row r="28" spans="1:3" x14ac:dyDescent="0.4">
      <c r="A28" s="16" t="s">
        <v>35</v>
      </c>
      <c r="B28" s="7" t="str">
        <f>"C:\Users\apurva\Workspace\AutomationPacks\" &amp; $B$2 &amp; "\Resources\Input\ChangeBusinessDate.xml"</f>
        <v>C:\Users\apurva\Workspace\AutomationPacks\RegressionTesting_1\Resources\Input\ChangeBusinessDate.xml</v>
      </c>
    </row>
    <row r="29" spans="1:3" s="2" customFormat="1" x14ac:dyDescent="0.45">
      <c r="A29" s="18" t="s">
        <v>36</v>
      </c>
      <c r="B29" s="19" t="s">
        <v>37</v>
      </c>
      <c r="C29" s="20"/>
    </row>
    <row r="30" spans="1:3" s="2" customFormat="1" ht="14.25" x14ac:dyDescent="0.45">
      <c r="A30" s="18" t="s">
        <v>38</v>
      </c>
      <c r="B30" s="21" t="s">
        <v>39</v>
      </c>
      <c r="C30" s="20"/>
    </row>
    <row r="31" spans="1:3" s="2" customFormat="1" x14ac:dyDescent="0.45">
      <c r="A31" s="18" t="s">
        <v>40</v>
      </c>
      <c r="B31" s="19">
        <v>1521</v>
      </c>
      <c r="C31" s="20"/>
    </row>
    <row r="32" spans="1:3" s="2" customFormat="1" ht="14.25" x14ac:dyDescent="0.45">
      <c r="A32" s="18" t="s">
        <v>41</v>
      </c>
      <c r="B32" s="21" t="s">
        <v>42</v>
      </c>
      <c r="C32" s="22"/>
    </row>
    <row r="33" spans="1:3" s="2" customFormat="1" ht="15.4" x14ac:dyDescent="0.55000000000000004">
      <c r="A33" s="23" t="s">
        <v>43</v>
      </c>
      <c r="B33" s="24" t="s">
        <v>44</v>
      </c>
      <c r="C33" s="25" t="s">
        <v>45</v>
      </c>
    </row>
    <row r="34" spans="1:3" ht="15.4" x14ac:dyDescent="0.55000000000000004">
      <c r="A34" s="7" t="s">
        <v>46</v>
      </c>
      <c r="B34" s="24" t="s">
        <v>44</v>
      </c>
      <c r="C34" s="25"/>
    </row>
    <row r="35" spans="1:3" ht="13.9" x14ac:dyDescent="0.45">
      <c r="A35" s="7" t="s">
        <v>47</v>
      </c>
      <c r="B35" s="26" t="s">
        <v>48</v>
      </c>
      <c r="C35" s="25"/>
    </row>
    <row r="36" spans="1:3" ht="14.25" x14ac:dyDescent="0.4">
      <c r="A36" s="7" t="s">
        <v>49</v>
      </c>
      <c r="B36" s="27" t="s">
        <v>39</v>
      </c>
      <c r="C36" s="25"/>
    </row>
    <row r="37" spans="1:3" ht="14.25" x14ac:dyDescent="0.45">
      <c r="A37" s="7" t="s">
        <v>50</v>
      </c>
      <c r="B37" s="28">
        <v>1521</v>
      </c>
      <c r="C37" s="25"/>
    </row>
    <row r="38" spans="1:3" ht="14.25" x14ac:dyDescent="0.45">
      <c r="A38" s="7" t="s">
        <v>51</v>
      </c>
      <c r="B38" s="21" t="s">
        <v>42</v>
      </c>
      <c r="C38" s="25"/>
    </row>
    <row r="39" spans="1:3" ht="14.25" x14ac:dyDescent="0.45">
      <c r="A39" s="7" t="s">
        <v>52</v>
      </c>
      <c r="B39" s="21" t="s">
        <v>53</v>
      </c>
      <c r="C39" s="25"/>
    </row>
    <row r="40" spans="1:3" ht="13.9" x14ac:dyDescent="0.45">
      <c r="A40" s="7" t="s">
        <v>54</v>
      </c>
      <c r="B40" s="26" t="s">
        <v>55</v>
      </c>
      <c r="C40" s="25"/>
    </row>
    <row r="41" spans="1:3" ht="14.25" x14ac:dyDescent="0.4">
      <c r="A41" s="29" t="s">
        <v>56</v>
      </c>
      <c r="B41" s="30" t="s">
        <v>57</v>
      </c>
      <c r="C41" s="25"/>
    </row>
    <row r="42" spans="1:3" ht="14.25" x14ac:dyDescent="0.4">
      <c r="A42" s="31" t="s">
        <v>58</v>
      </c>
      <c r="B42" s="32"/>
      <c r="C42" s="25" t="s">
        <v>59</v>
      </c>
    </row>
    <row r="43" spans="1:3" ht="14.25" x14ac:dyDescent="0.4">
      <c r="A43" s="31" t="s">
        <v>60</v>
      </c>
      <c r="B43" s="32"/>
      <c r="C43" s="25" t="s">
        <v>61</v>
      </c>
    </row>
    <row r="44" spans="1:3" ht="14.25" x14ac:dyDescent="0.4">
      <c r="A44" s="31" t="s">
        <v>62</v>
      </c>
      <c r="B44" s="32"/>
      <c r="C44" s="25" t="s">
        <v>61</v>
      </c>
    </row>
    <row r="45" spans="1:3" ht="14.25" x14ac:dyDescent="0.4">
      <c r="A45" s="31" t="s">
        <v>63</v>
      </c>
      <c r="B45" s="32"/>
      <c r="C45" s="25" t="s">
        <v>61</v>
      </c>
    </row>
    <row r="46" spans="1:3" ht="14.25" x14ac:dyDescent="0.4">
      <c r="A46" s="31" t="s">
        <v>64</v>
      </c>
      <c r="B46" s="32"/>
      <c r="C46" s="25" t="s">
        <v>61</v>
      </c>
    </row>
    <row r="47" spans="1:3" ht="14.25" x14ac:dyDescent="0.4">
      <c r="A47" s="31" t="s">
        <v>65</v>
      </c>
      <c r="B47" s="32"/>
      <c r="C47" s="25" t="s">
        <v>61</v>
      </c>
    </row>
    <row r="48" spans="1:3" ht="14.25" x14ac:dyDescent="0.4">
      <c r="A48" s="33" t="s">
        <v>66</v>
      </c>
      <c r="B48" s="30" t="s">
        <v>67</v>
      </c>
      <c r="C48" s="25"/>
    </row>
    <row r="49" spans="1:3" x14ac:dyDescent="0.4">
      <c r="A49" s="29" t="s">
        <v>68</v>
      </c>
      <c r="B49" s="34" t="s">
        <v>69</v>
      </c>
      <c r="C49" s="25"/>
    </row>
    <row r="50" spans="1:3" ht="14.25" x14ac:dyDescent="0.4">
      <c r="A50" s="7" t="s">
        <v>70</v>
      </c>
      <c r="B50" s="35" t="s">
        <v>71</v>
      </c>
      <c r="C50" s="25"/>
    </row>
    <row r="51" spans="1:3" x14ac:dyDescent="0.4">
      <c r="A51" s="7" t="s">
        <v>72</v>
      </c>
      <c r="B51" s="8" t="str">
        <f>"C:\Users\apurva\Workspace\AutomationPacks\" &amp; $B$2 &amp; "\Resources\Input\RunBatch_JBeam\DayBatch.xml"</f>
        <v>C:\Users\apurva\Workspace\AutomationPacks\RegressionTesting_1\Resources\Input\RunBatch_JBeam\DayBatch.xml</v>
      </c>
      <c r="C51" s="36" t="s">
        <v>73</v>
      </c>
    </row>
    <row r="52" spans="1:3" ht="26.25" x14ac:dyDescent="0.4">
      <c r="A52" s="37" t="s">
        <v>74</v>
      </c>
      <c r="B52" s="38" t="str">
        <f>"C:\Users\apurva\Workspace\AutomationPacks\" &amp; $B$2 &amp; "\Resources\Input\RunBatch_JBeam\DAY_BATCH.xml"</f>
        <v>C:\Users\apurva\Workspace\AutomationPacks\RegressionTesting_1\Resources\Input\RunBatch_JBeam\DAY_BATCH.xml</v>
      </c>
      <c r="C52" s="39" t="s">
        <v>75</v>
      </c>
    </row>
    <row r="53" spans="1:3" ht="26.25" x14ac:dyDescent="0.4">
      <c r="A53" s="37" t="s">
        <v>76</v>
      </c>
      <c r="B53" s="38" t="str">
        <f>"C:\Users\apurva\Workspace\AutomationPacks\" &amp; $B$2 &amp; "\Resources\Input\RunBatch_JBeam\NIGHT_BATCH.xml"</f>
        <v>C:\Users\apurva\Workspace\AutomationPacks\RegressionTesting_1\Resources\Input\RunBatch_JBeam\NIGHT_BATCH.xml</v>
      </c>
      <c r="C53" s="39" t="s">
        <v>77</v>
      </c>
    </row>
    <row r="54" spans="1:3" x14ac:dyDescent="0.4">
      <c r="A54" s="29" t="s">
        <v>78</v>
      </c>
      <c r="B54" s="40" t="s">
        <v>79</v>
      </c>
      <c r="C54" s="25"/>
    </row>
    <row r="55" spans="1:3" s="3" customFormat="1" x14ac:dyDescent="0.4">
      <c r="A55" s="41" t="s">
        <v>80</v>
      </c>
      <c r="B55" s="42" t="b">
        <v>1</v>
      </c>
      <c r="C55" s="25"/>
    </row>
    <row r="56" spans="1:3" x14ac:dyDescent="0.4">
      <c r="A56" s="41" t="s">
        <v>81</v>
      </c>
      <c r="B56" s="41" t="str">
        <f>"C:\Users\apurva\Workspace\AutomationPacks\" &amp; $B$2 &amp; "\Resources\Input\RunBatch_JBeam\RunBatch_JBeam.xlsx"</f>
        <v>C:\Users\apurva\Workspace\AutomationPacks\RegressionTesting_1\Resources\Input\RunBatch_JBeam\RunBatch_JBeam.xlsx</v>
      </c>
      <c r="C56" s="25"/>
    </row>
    <row r="57" spans="1:3" x14ac:dyDescent="0.4">
      <c r="A57" s="43" t="s">
        <v>82</v>
      </c>
      <c r="B57" s="43" t="str">
        <f>"C:\Users\apurva\Workspace\AutomationPacks\" &amp; $B$2 &amp; "\Resources\Results\webservice_log.txt"</f>
        <v>C:\Users\apurva\Workspace\AutomationPacks\RegressionTesting_1\Resources\Results\webservice_log.txt</v>
      </c>
      <c r="C57" s="25"/>
    </row>
    <row r="58" spans="1:3" x14ac:dyDescent="0.4">
      <c r="A58" s="7" t="s">
        <v>83</v>
      </c>
      <c r="B58" s="44" t="s">
        <v>84</v>
      </c>
      <c r="C58" s="25"/>
    </row>
    <row r="59" spans="1:3" x14ac:dyDescent="0.4">
      <c r="A59" s="7" t="s">
        <v>85</v>
      </c>
      <c r="B59" s="44" t="s">
        <v>86</v>
      </c>
      <c r="C59" s="25"/>
    </row>
    <row r="60" spans="1:3" x14ac:dyDescent="0.4">
      <c r="A60" s="7" t="s">
        <v>87</v>
      </c>
      <c r="B60" s="8" t="b">
        <v>1</v>
      </c>
      <c r="C60" s="25"/>
    </row>
    <row r="61" spans="1:3" x14ac:dyDescent="0.4">
      <c r="A61" s="7" t="s">
        <v>88</v>
      </c>
      <c r="B61" s="8" t="str">
        <f>"C:\Users\apurva\Workspace\AutomationPacks\" &amp; $B$2 &amp; "\Resources\Independent_XML_COMPARISON_Utility_i_TAF.xlsm"</f>
        <v>C:\Users\apurva\Workspace\AutomationPacks\RegressionTesting_1\Resources\Independent_XML_COMPARISON_Utility_i_TAF.xlsm</v>
      </c>
      <c r="C61" s="25"/>
    </row>
    <row r="62" spans="1:3" x14ac:dyDescent="0.4">
      <c r="A62" s="7" t="s">
        <v>89</v>
      </c>
      <c r="B62" s="8" t="str">
        <f>"C:\Users\apurva\Workspace\AutomationPacks\" &amp; $B$2 &amp; "\BACKUP"</f>
        <v>C:\Users\apurva\Workspace\AutomationPacks\RegressionTesting_1\BACKUP</v>
      </c>
      <c r="C62" s="25"/>
    </row>
    <row r="63" spans="1:3" x14ac:dyDescent="0.4">
      <c r="A63" s="45" t="s">
        <v>90</v>
      </c>
      <c r="B63" s="46" t="str">
        <f>"C:\Users\apurva\Workspace\AutomationPacks\" &amp; $B$2 &amp; "\Resources\Results\Execution_Status_Report.xlsm"</f>
        <v>C:\Users\apurva\Workspace\AutomationPacks\RegressionTesting_1\Resources\Results\Execution_Status_Report.xlsm</v>
      </c>
      <c r="C63" s="25"/>
    </row>
    <row r="64" spans="1:3" x14ac:dyDescent="0.4">
      <c r="A64" s="23" t="s">
        <v>91</v>
      </c>
      <c r="B64" s="43" t="s">
        <v>92</v>
      </c>
      <c r="C64" s="25" t="s">
        <v>93</v>
      </c>
    </row>
    <row r="65" spans="1:3" x14ac:dyDescent="0.4">
      <c r="A65" s="23" t="s">
        <v>94</v>
      </c>
      <c r="B65" s="43" t="s">
        <v>86</v>
      </c>
      <c r="C65" s="25" t="s">
        <v>95</v>
      </c>
    </row>
    <row r="66" spans="1:3" x14ac:dyDescent="0.4">
      <c r="A66" s="23" t="s">
        <v>96</v>
      </c>
      <c r="B66" s="38" t="b">
        <v>1</v>
      </c>
      <c r="C66" s="4" t="s">
        <v>95</v>
      </c>
    </row>
    <row r="67" spans="1:3" ht="14.25" x14ac:dyDescent="0.45">
      <c r="A67" s="45" t="s">
        <v>97</v>
      </c>
      <c r="B67" s="47" t="s">
        <v>39</v>
      </c>
      <c r="C67" s="48"/>
    </row>
    <row r="68" spans="1:3" ht="14.25" x14ac:dyDescent="0.45">
      <c r="A68" s="45" t="s">
        <v>98</v>
      </c>
      <c r="B68" s="46" t="s">
        <v>99</v>
      </c>
      <c r="C68" s="48"/>
    </row>
    <row r="69" spans="1:3" ht="14.25" x14ac:dyDescent="0.45">
      <c r="A69" s="45" t="s">
        <v>100</v>
      </c>
      <c r="B69" s="46" t="s">
        <v>99</v>
      </c>
      <c r="C69" s="48"/>
    </row>
    <row r="70" spans="1:3" ht="14.25" x14ac:dyDescent="0.45">
      <c r="A70" s="45" t="s">
        <v>101</v>
      </c>
      <c r="B70" s="46">
        <v>22</v>
      </c>
      <c r="C70" s="48"/>
    </row>
    <row r="71" spans="1:3" ht="105" x14ac:dyDescent="0.4">
      <c r="A71" s="45" t="s">
        <v>102</v>
      </c>
      <c r="B71" s="46" t="b">
        <v>1</v>
      </c>
      <c r="C71" s="49" t="s">
        <v>103</v>
      </c>
    </row>
    <row r="72" spans="1:3" x14ac:dyDescent="0.4">
      <c r="A72" s="45" t="s">
        <v>104</v>
      </c>
      <c r="B72" s="45"/>
      <c r="C72" s="45"/>
    </row>
    <row r="73" spans="1:3" x14ac:dyDescent="0.4">
      <c r="A73" s="45" t="s">
        <v>105</v>
      </c>
      <c r="B73" s="45"/>
      <c r="C73" s="45"/>
    </row>
    <row r="74" spans="1:3" ht="14.25" x14ac:dyDescent="0.45">
      <c r="A74" s="50" t="s">
        <v>106</v>
      </c>
      <c r="B74" s="48"/>
      <c r="C74" s="48"/>
    </row>
    <row r="75" spans="1:3" x14ac:dyDescent="0.4">
      <c r="A75" s="4" t="s">
        <v>107</v>
      </c>
      <c r="B75" s="5" t="s">
        <v>108</v>
      </c>
    </row>
    <row r="76" spans="1:3" x14ac:dyDescent="0.4">
      <c r="A76" s="4" t="s">
        <v>109</v>
      </c>
      <c r="B76" s="5" t="b">
        <v>0</v>
      </c>
    </row>
  </sheetData>
  <dataValidations count="3">
    <dataValidation type="list" allowBlank="1" showInputMessage="1" showErrorMessage="1" sqref="B6:B7 IX6:IX7 ST6:ST7 ACP6:ACP7 AML6:AML7 AWH6:AWH7 BGD6:BGD7 BPZ6:BPZ7 BZV6:BZV7 CJR6:CJR7 CTN6:CTN7 DDJ6:DDJ7 DNF6:DNF7 DXB6:DXB7 EGX6:EGX7 EQT6:EQT7 FAP6:FAP7 FKL6:FKL7 FUH6:FUH7 GED6:GED7 GNZ6:GNZ7 GXV6:GXV7 HHR6:HHR7 HRN6:HRN7 IBJ6:IBJ7 ILF6:ILF7 IVB6:IVB7 JEX6:JEX7 JOT6:JOT7 JYP6:JYP7 KIL6:KIL7 KSH6:KSH7 LCD6:LCD7 LLZ6:LLZ7 LVV6:LVV7 MFR6:MFR7 MPN6:MPN7 MZJ6:MZJ7 NJF6:NJF7 NTB6:NTB7 OCX6:OCX7 OMT6:OMT7 OWP6:OWP7 PGL6:PGL7 PQH6:PQH7 QAD6:QAD7 QJZ6:QJZ7 QTV6:QTV7 RDR6:RDR7 RNN6:RNN7 RXJ6:RXJ7 SHF6:SHF7 SRB6:SRB7 TAX6:TAX7 TKT6:TKT7 TUP6:TUP7 UEL6:UEL7 UOH6:UOH7 UYD6:UYD7 VHZ6:VHZ7 VRV6:VRV7 WBR6:WBR7 WLN6:WLN7 WVJ6:WVJ7 B65551:B65552 IX65551:IX65552 ST65551:ST65552 ACP65551:ACP65552 AML65551:AML65552 AWH65551:AWH65552 BGD65551:BGD65552 BPZ65551:BPZ65552 BZV65551:BZV65552 CJR65551:CJR65552 CTN65551:CTN65552 DDJ65551:DDJ65552 DNF65551:DNF65552 DXB65551:DXB65552 EGX65551:EGX65552 EQT65551:EQT65552 FAP65551:FAP65552 FKL65551:FKL65552 FUH65551:FUH65552 GED65551:GED65552 GNZ65551:GNZ65552 GXV65551:GXV65552 HHR65551:HHR65552 HRN65551:HRN65552 IBJ65551:IBJ65552 ILF65551:ILF65552 IVB65551:IVB65552 JEX65551:JEX65552 JOT65551:JOT65552 JYP65551:JYP65552 KIL65551:KIL65552 KSH65551:KSH65552 LCD65551:LCD65552 LLZ65551:LLZ65552 LVV65551:LVV65552 MFR65551:MFR65552 MPN65551:MPN65552 MZJ65551:MZJ65552 NJF65551:NJF65552 NTB65551:NTB65552 OCX65551:OCX65552 OMT65551:OMT65552 OWP65551:OWP65552 PGL65551:PGL65552 PQH65551:PQH65552 QAD65551:QAD65552 QJZ65551:QJZ65552 QTV65551:QTV65552 RDR65551:RDR65552 RNN65551:RNN65552 RXJ65551:RXJ65552 SHF65551:SHF65552 SRB65551:SRB65552 TAX65551:TAX65552 TKT65551:TKT65552 TUP65551:TUP65552 UEL65551:UEL65552 UOH65551:UOH65552 UYD65551:UYD65552 VHZ65551:VHZ65552 VRV65551:VRV65552 WBR65551:WBR65552 WLN65551:WLN65552 WVJ65551:WVJ65552 B131087:B131088 IX131087:IX131088 ST131087:ST131088 ACP131087:ACP131088 AML131087:AML131088 AWH131087:AWH131088 BGD131087:BGD131088 BPZ131087:BPZ131088 BZV131087:BZV131088 CJR131087:CJR131088 CTN131087:CTN131088 DDJ131087:DDJ131088 DNF131087:DNF131088 DXB131087:DXB131088 EGX131087:EGX131088 EQT131087:EQT131088 FAP131087:FAP131088 FKL131087:FKL131088 FUH131087:FUH131088 GED131087:GED131088 GNZ131087:GNZ131088 GXV131087:GXV131088 HHR131087:HHR131088 HRN131087:HRN131088 IBJ131087:IBJ131088 ILF131087:ILF131088 IVB131087:IVB131088 JEX131087:JEX131088 JOT131087:JOT131088 JYP131087:JYP131088 KIL131087:KIL131088 KSH131087:KSH131088 LCD131087:LCD131088 LLZ131087:LLZ131088 LVV131087:LVV131088 MFR131087:MFR131088 MPN131087:MPN131088 MZJ131087:MZJ131088 NJF131087:NJF131088 NTB131087:NTB131088 OCX131087:OCX131088 OMT131087:OMT131088 OWP131087:OWP131088 PGL131087:PGL131088 PQH131087:PQH131088 QAD131087:QAD131088 QJZ131087:QJZ131088 QTV131087:QTV131088 RDR131087:RDR131088 RNN131087:RNN131088 RXJ131087:RXJ131088 SHF131087:SHF131088 SRB131087:SRB131088 TAX131087:TAX131088 TKT131087:TKT131088 TUP131087:TUP131088 UEL131087:UEL131088 UOH131087:UOH131088 UYD131087:UYD131088 VHZ131087:VHZ131088 VRV131087:VRV131088 WBR131087:WBR131088 WLN131087:WLN131088 WVJ131087:WVJ131088 B196623:B196624 IX196623:IX196624 ST196623:ST196624 ACP196623:ACP196624 AML196623:AML196624 AWH196623:AWH196624 BGD196623:BGD196624 BPZ196623:BPZ196624 BZV196623:BZV196624 CJR196623:CJR196624 CTN196623:CTN196624 DDJ196623:DDJ196624 DNF196623:DNF196624 DXB196623:DXB196624 EGX196623:EGX196624 EQT196623:EQT196624 FAP196623:FAP196624 FKL196623:FKL196624 FUH196623:FUH196624 GED196623:GED196624 GNZ196623:GNZ196624 GXV196623:GXV196624 HHR196623:HHR196624 HRN196623:HRN196624 IBJ196623:IBJ196624 ILF196623:ILF196624 IVB196623:IVB196624 JEX196623:JEX196624 JOT196623:JOT196624 JYP196623:JYP196624 KIL196623:KIL196624 KSH196623:KSH196624 LCD196623:LCD196624 LLZ196623:LLZ196624 LVV196623:LVV196624 MFR196623:MFR196624 MPN196623:MPN196624 MZJ196623:MZJ196624 NJF196623:NJF196624 NTB196623:NTB196624 OCX196623:OCX196624 OMT196623:OMT196624 OWP196623:OWP196624 PGL196623:PGL196624 PQH196623:PQH196624 QAD196623:QAD196624 QJZ196623:QJZ196624 QTV196623:QTV196624 RDR196623:RDR196624 RNN196623:RNN196624 RXJ196623:RXJ196624 SHF196623:SHF196624 SRB196623:SRB196624 TAX196623:TAX196624 TKT196623:TKT196624 TUP196623:TUP196624 UEL196623:UEL196624 UOH196623:UOH196624 UYD196623:UYD196624 VHZ196623:VHZ196624 VRV196623:VRV196624 WBR196623:WBR196624 WLN196623:WLN196624 WVJ196623:WVJ196624 B262159:B262160 IX262159:IX262160 ST262159:ST262160 ACP262159:ACP262160 AML262159:AML262160 AWH262159:AWH262160 BGD262159:BGD262160 BPZ262159:BPZ262160 BZV262159:BZV262160 CJR262159:CJR262160 CTN262159:CTN262160 DDJ262159:DDJ262160 DNF262159:DNF262160 DXB262159:DXB262160 EGX262159:EGX262160 EQT262159:EQT262160 FAP262159:FAP262160 FKL262159:FKL262160 FUH262159:FUH262160 GED262159:GED262160 GNZ262159:GNZ262160 GXV262159:GXV262160 HHR262159:HHR262160 HRN262159:HRN262160 IBJ262159:IBJ262160 ILF262159:ILF262160 IVB262159:IVB262160 JEX262159:JEX262160 JOT262159:JOT262160 JYP262159:JYP262160 KIL262159:KIL262160 KSH262159:KSH262160 LCD262159:LCD262160 LLZ262159:LLZ262160 LVV262159:LVV262160 MFR262159:MFR262160 MPN262159:MPN262160 MZJ262159:MZJ262160 NJF262159:NJF262160 NTB262159:NTB262160 OCX262159:OCX262160 OMT262159:OMT262160 OWP262159:OWP262160 PGL262159:PGL262160 PQH262159:PQH262160 QAD262159:QAD262160 QJZ262159:QJZ262160 QTV262159:QTV262160 RDR262159:RDR262160 RNN262159:RNN262160 RXJ262159:RXJ262160 SHF262159:SHF262160 SRB262159:SRB262160 TAX262159:TAX262160 TKT262159:TKT262160 TUP262159:TUP262160 UEL262159:UEL262160 UOH262159:UOH262160 UYD262159:UYD262160 VHZ262159:VHZ262160 VRV262159:VRV262160 WBR262159:WBR262160 WLN262159:WLN262160 WVJ262159:WVJ262160 B327695:B327696 IX327695:IX327696 ST327695:ST327696 ACP327695:ACP327696 AML327695:AML327696 AWH327695:AWH327696 BGD327695:BGD327696 BPZ327695:BPZ327696 BZV327695:BZV327696 CJR327695:CJR327696 CTN327695:CTN327696 DDJ327695:DDJ327696 DNF327695:DNF327696 DXB327695:DXB327696 EGX327695:EGX327696 EQT327695:EQT327696 FAP327695:FAP327696 FKL327695:FKL327696 FUH327695:FUH327696 GED327695:GED327696 GNZ327695:GNZ327696 GXV327695:GXV327696 HHR327695:HHR327696 HRN327695:HRN327696 IBJ327695:IBJ327696 ILF327695:ILF327696 IVB327695:IVB327696 JEX327695:JEX327696 JOT327695:JOT327696 JYP327695:JYP327696 KIL327695:KIL327696 KSH327695:KSH327696 LCD327695:LCD327696 LLZ327695:LLZ327696 LVV327695:LVV327696 MFR327695:MFR327696 MPN327695:MPN327696 MZJ327695:MZJ327696 NJF327695:NJF327696 NTB327695:NTB327696 OCX327695:OCX327696 OMT327695:OMT327696 OWP327695:OWP327696 PGL327695:PGL327696 PQH327695:PQH327696 QAD327695:QAD327696 QJZ327695:QJZ327696 QTV327695:QTV327696 RDR327695:RDR327696 RNN327695:RNN327696 RXJ327695:RXJ327696 SHF327695:SHF327696 SRB327695:SRB327696 TAX327695:TAX327696 TKT327695:TKT327696 TUP327695:TUP327696 UEL327695:UEL327696 UOH327695:UOH327696 UYD327695:UYD327696 VHZ327695:VHZ327696 VRV327695:VRV327696 WBR327695:WBR327696 WLN327695:WLN327696 WVJ327695:WVJ327696 B393231:B393232 IX393231:IX393232 ST393231:ST393232 ACP393231:ACP393232 AML393231:AML393232 AWH393231:AWH393232 BGD393231:BGD393232 BPZ393231:BPZ393232 BZV393231:BZV393232 CJR393231:CJR393232 CTN393231:CTN393232 DDJ393231:DDJ393232 DNF393231:DNF393232 DXB393231:DXB393232 EGX393231:EGX393232 EQT393231:EQT393232 FAP393231:FAP393232 FKL393231:FKL393232 FUH393231:FUH393232 GED393231:GED393232 GNZ393231:GNZ393232 GXV393231:GXV393232 HHR393231:HHR393232 HRN393231:HRN393232 IBJ393231:IBJ393232 ILF393231:ILF393232 IVB393231:IVB393232 JEX393231:JEX393232 JOT393231:JOT393232 JYP393231:JYP393232 KIL393231:KIL393232 KSH393231:KSH393232 LCD393231:LCD393232 LLZ393231:LLZ393232 LVV393231:LVV393232 MFR393231:MFR393232 MPN393231:MPN393232 MZJ393231:MZJ393232 NJF393231:NJF393232 NTB393231:NTB393232 OCX393231:OCX393232 OMT393231:OMT393232 OWP393231:OWP393232 PGL393231:PGL393232 PQH393231:PQH393232 QAD393231:QAD393232 QJZ393231:QJZ393232 QTV393231:QTV393232 RDR393231:RDR393232 RNN393231:RNN393232 RXJ393231:RXJ393232 SHF393231:SHF393232 SRB393231:SRB393232 TAX393231:TAX393232 TKT393231:TKT393232 TUP393231:TUP393232 UEL393231:UEL393232 UOH393231:UOH393232 UYD393231:UYD393232 VHZ393231:VHZ393232 VRV393231:VRV393232 WBR393231:WBR393232 WLN393231:WLN393232 WVJ393231:WVJ393232 B458767:B458768 IX458767:IX458768 ST458767:ST458768 ACP458767:ACP458768 AML458767:AML458768 AWH458767:AWH458768 BGD458767:BGD458768 BPZ458767:BPZ458768 BZV458767:BZV458768 CJR458767:CJR458768 CTN458767:CTN458768 DDJ458767:DDJ458768 DNF458767:DNF458768 DXB458767:DXB458768 EGX458767:EGX458768 EQT458767:EQT458768 FAP458767:FAP458768 FKL458767:FKL458768 FUH458767:FUH458768 GED458767:GED458768 GNZ458767:GNZ458768 GXV458767:GXV458768 HHR458767:HHR458768 HRN458767:HRN458768 IBJ458767:IBJ458768 ILF458767:ILF458768 IVB458767:IVB458768 JEX458767:JEX458768 JOT458767:JOT458768 JYP458767:JYP458768 KIL458767:KIL458768 KSH458767:KSH458768 LCD458767:LCD458768 LLZ458767:LLZ458768 LVV458767:LVV458768 MFR458767:MFR458768 MPN458767:MPN458768 MZJ458767:MZJ458768 NJF458767:NJF458768 NTB458767:NTB458768 OCX458767:OCX458768 OMT458767:OMT458768 OWP458767:OWP458768 PGL458767:PGL458768 PQH458767:PQH458768 QAD458767:QAD458768 QJZ458767:QJZ458768 QTV458767:QTV458768 RDR458767:RDR458768 RNN458767:RNN458768 RXJ458767:RXJ458768 SHF458767:SHF458768 SRB458767:SRB458768 TAX458767:TAX458768 TKT458767:TKT458768 TUP458767:TUP458768 UEL458767:UEL458768 UOH458767:UOH458768 UYD458767:UYD458768 VHZ458767:VHZ458768 VRV458767:VRV458768 WBR458767:WBR458768 WLN458767:WLN458768 WVJ458767:WVJ458768 B524303:B524304 IX524303:IX524304 ST524303:ST524304 ACP524303:ACP524304 AML524303:AML524304 AWH524303:AWH524304 BGD524303:BGD524304 BPZ524303:BPZ524304 BZV524303:BZV524304 CJR524303:CJR524304 CTN524303:CTN524304 DDJ524303:DDJ524304 DNF524303:DNF524304 DXB524303:DXB524304 EGX524303:EGX524304 EQT524303:EQT524304 FAP524303:FAP524304 FKL524303:FKL524304 FUH524303:FUH524304 GED524303:GED524304 GNZ524303:GNZ524304 GXV524303:GXV524304 HHR524303:HHR524304 HRN524303:HRN524304 IBJ524303:IBJ524304 ILF524303:ILF524304 IVB524303:IVB524304 JEX524303:JEX524304 JOT524303:JOT524304 JYP524303:JYP524304 KIL524303:KIL524304 KSH524303:KSH524304 LCD524303:LCD524304 LLZ524303:LLZ524304 LVV524303:LVV524304 MFR524303:MFR524304 MPN524303:MPN524304 MZJ524303:MZJ524304 NJF524303:NJF524304 NTB524303:NTB524304 OCX524303:OCX524304 OMT524303:OMT524304 OWP524303:OWP524304 PGL524303:PGL524304 PQH524303:PQH524304 QAD524303:QAD524304 QJZ524303:QJZ524304 QTV524303:QTV524304 RDR524303:RDR524304 RNN524303:RNN524304 RXJ524303:RXJ524304 SHF524303:SHF524304 SRB524303:SRB524304 TAX524303:TAX524304 TKT524303:TKT524304 TUP524303:TUP524304 UEL524303:UEL524304 UOH524303:UOH524304 UYD524303:UYD524304 VHZ524303:VHZ524304 VRV524303:VRV524304 WBR524303:WBR524304 WLN524303:WLN524304 WVJ524303:WVJ524304 B589839:B589840 IX589839:IX589840 ST589839:ST589840 ACP589839:ACP589840 AML589839:AML589840 AWH589839:AWH589840 BGD589839:BGD589840 BPZ589839:BPZ589840 BZV589839:BZV589840 CJR589839:CJR589840 CTN589839:CTN589840 DDJ589839:DDJ589840 DNF589839:DNF589840 DXB589839:DXB589840 EGX589839:EGX589840 EQT589839:EQT589840 FAP589839:FAP589840 FKL589839:FKL589840 FUH589839:FUH589840 GED589839:GED589840 GNZ589839:GNZ589840 GXV589839:GXV589840 HHR589839:HHR589840 HRN589839:HRN589840 IBJ589839:IBJ589840 ILF589839:ILF589840 IVB589839:IVB589840 JEX589839:JEX589840 JOT589839:JOT589840 JYP589839:JYP589840 KIL589839:KIL589840 KSH589839:KSH589840 LCD589839:LCD589840 LLZ589839:LLZ589840 LVV589839:LVV589840 MFR589839:MFR589840 MPN589839:MPN589840 MZJ589839:MZJ589840 NJF589839:NJF589840 NTB589839:NTB589840 OCX589839:OCX589840 OMT589839:OMT589840 OWP589839:OWP589840 PGL589839:PGL589840 PQH589839:PQH589840 QAD589839:QAD589840 QJZ589839:QJZ589840 QTV589839:QTV589840 RDR589839:RDR589840 RNN589839:RNN589840 RXJ589839:RXJ589840 SHF589839:SHF589840 SRB589839:SRB589840 TAX589839:TAX589840 TKT589839:TKT589840 TUP589839:TUP589840 UEL589839:UEL589840 UOH589839:UOH589840 UYD589839:UYD589840 VHZ589839:VHZ589840 VRV589839:VRV589840 WBR589839:WBR589840 WLN589839:WLN589840 WVJ589839:WVJ589840 B655375:B655376 IX655375:IX655376 ST655375:ST655376 ACP655375:ACP655376 AML655375:AML655376 AWH655375:AWH655376 BGD655375:BGD655376 BPZ655375:BPZ655376 BZV655375:BZV655376 CJR655375:CJR655376 CTN655375:CTN655376 DDJ655375:DDJ655376 DNF655375:DNF655376 DXB655375:DXB655376 EGX655375:EGX655376 EQT655375:EQT655376 FAP655375:FAP655376 FKL655375:FKL655376 FUH655375:FUH655376 GED655375:GED655376 GNZ655375:GNZ655376 GXV655375:GXV655376 HHR655375:HHR655376 HRN655375:HRN655376 IBJ655375:IBJ655376 ILF655375:ILF655376 IVB655375:IVB655376 JEX655375:JEX655376 JOT655375:JOT655376 JYP655375:JYP655376 KIL655375:KIL655376 KSH655375:KSH655376 LCD655375:LCD655376 LLZ655375:LLZ655376 LVV655375:LVV655376 MFR655375:MFR655376 MPN655375:MPN655376 MZJ655375:MZJ655376 NJF655375:NJF655376 NTB655375:NTB655376 OCX655375:OCX655376 OMT655375:OMT655376 OWP655375:OWP655376 PGL655375:PGL655376 PQH655375:PQH655376 QAD655375:QAD655376 QJZ655375:QJZ655376 QTV655375:QTV655376 RDR655375:RDR655376 RNN655375:RNN655376 RXJ655375:RXJ655376 SHF655375:SHF655376 SRB655375:SRB655376 TAX655375:TAX655376 TKT655375:TKT655376 TUP655375:TUP655376 UEL655375:UEL655376 UOH655375:UOH655376 UYD655375:UYD655376 VHZ655375:VHZ655376 VRV655375:VRV655376 WBR655375:WBR655376 WLN655375:WLN655376 WVJ655375:WVJ655376 B720911:B720912 IX720911:IX720912 ST720911:ST720912 ACP720911:ACP720912 AML720911:AML720912 AWH720911:AWH720912 BGD720911:BGD720912 BPZ720911:BPZ720912 BZV720911:BZV720912 CJR720911:CJR720912 CTN720911:CTN720912 DDJ720911:DDJ720912 DNF720911:DNF720912 DXB720911:DXB720912 EGX720911:EGX720912 EQT720911:EQT720912 FAP720911:FAP720912 FKL720911:FKL720912 FUH720911:FUH720912 GED720911:GED720912 GNZ720911:GNZ720912 GXV720911:GXV720912 HHR720911:HHR720912 HRN720911:HRN720912 IBJ720911:IBJ720912 ILF720911:ILF720912 IVB720911:IVB720912 JEX720911:JEX720912 JOT720911:JOT720912 JYP720911:JYP720912 KIL720911:KIL720912 KSH720911:KSH720912 LCD720911:LCD720912 LLZ720911:LLZ720912 LVV720911:LVV720912 MFR720911:MFR720912 MPN720911:MPN720912 MZJ720911:MZJ720912 NJF720911:NJF720912 NTB720911:NTB720912 OCX720911:OCX720912 OMT720911:OMT720912 OWP720911:OWP720912 PGL720911:PGL720912 PQH720911:PQH720912 QAD720911:QAD720912 QJZ720911:QJZ720912 QTV720911:QTV720912 RDR720911:RDR720912 RNN720911:RNN720912 RXJ720911:RXJ720912 SHF720911:SHF720912 SRB720911:SRB720912 TAX720911:TAX720912 TKT720911:TKT720912 TUP720911:TUP720912 UEL720911:UEL720912 UOH720911:UOH720912 UYD720911:UYD720912 VHZ720911:VHZ720912 VRV720911:VRV720912 WBR720911:WBR720912 WLN720911:WLN720912 WVJ720911:WVJ720912 B786447:B786448 IX786447:IX786448 ST786447:ST786448 ACP786447:ACP786448 AML786447:AML786448 AWH786447:AWH786448 BGD786447:BGD786448 BPZ786447:BPZ786448 BZV786447:BZV786448 CJR786447:CJR786448 CTN786447:CTN786448 DDJ786447:DDJ786448 DNF786447:DNF786448 DXB786447:DXB786448 EGX786447:EGX786448 EQT786447:EQT786448 FAP786447:FAP786448 FKL786447:FKL786448 FUH786447:FUH786448 GED786447:GED786448 GNZ786447:GNZ786448 GXV786447:GXV786448 HHR786447:HHR786448 HRN786447:HRN786448 IBJ786447:IBJ786448 ILF786447:ILF786448 IVB786447:IVB786448 JEX786447:JEX786448 JOT786447:JOT786448 JYP786447:JYP786448 KIL786447:KIL786448 KSH786447:KSH786448 LCD786447:LCD786448 LLZ786447:LLZ786448 LVV786447:LVV786448 MFR786447:MFR786448 MPN786447:MPN786448 MZJ786447:MZJ786448 NJF786447:NJF786448 NTB786447:NTB786448 OCX786447:OCX786448 OMT786447:OMT786448 OWP786447:OWP786448 PGL786447:PGL786448 PQH786447:PQH786448 QAD786447:QAD786448 QJZ786447:QJZ786448 QTV786447:QTV786448 RDR786447:RDR786448 RNN786447:RNN786448 RXJ786447:RXJ786448 SHF786447:SHF786448 SRB786447:SRB786448 TAX786447:TAX786448 TKT786447:TKT786448 TUP786447:TUP786448 UEL786447:UEL786448 UOH786447:UOH786448 UYD786447:UYD786448 VHZ786447:VHZ786448 VRV786447:VRV786448 WBR786447:WBR786448 WLN786447:WLN786448 WVJ786447:WVJ786448 B851983:B851984 IX851983:IX851984 ST851983:ST851984 ACP851983:ACP851984 AML851983:AML851984 AWH851983:AWH851984 BGD851983:BGD851984 BPZ851983:BPZ851984 BZV851983:BZV851984 CJR851983:CJR851984 CTN851983:CTN851984 DDJ851983:DDJ851984 DNF851983:DNF851984 DXB851983:DXB851984 EGX851983:EGX851984 EQT851983:EQT851984 FAP851983:FAP851984 FKL851983:FKL851984 FUH851983:FUH851984 GED851983:GED851984 GNZ851983:GNZ851984 GXV851983:GXV851984 HHR851983:HHR851984 HRN851983:HRN851984 IBJ851983:IBJ851984 ILF851983:ILF851984 IVB851983:IVB851984 JEX851983:JEX851984 JOT851983:JOT851984 JYP851983:JYP851984 KIL851983:KIL851984 KSH851983:KSH851984 LCD851983:LCD851984 LLZ851983:LLZ851984 LVV851983:LVV851984 MFR851983:MFR851984 MPN851983:MPN851984 MZJ851983:MZJ851984 NJF851983:NJF851984 NTB851983:NTB851984 OCX851983:OCX851984 OMT851983:OMT851984 OWP851983:OWP851984 PGL851983:PGL851984 PQH851983:PQH851984 QAD851983:QAD851984 QJZ851983:QJZ851984 QTV851983:QTV851984 RDR851983:RDR851984 RNN851983:RNN851984 RXJ851983:RXJ851984 SHF851983:SHF851984 SRB851983:SRB851984 TAX851983:TAX851984 TKT851983:TKT851984 TUP851983:TUP851984 UEL851983:UEL851984 UOH851983:UOH851984 UYD851983:UYD851984 VHZ851983:VHZ851984 VRV851983:VRV851984 WBR851983:WBR851984 WLN851983:WLN851984 WVJ851983:WVJ851984 B917519:B917520 IX917519:IX917520 ST917519:ST917520 ACP917519:ACP917520 AML917519:AML917520 AWH917519:AWH917520 BGD917519:BGD917520 BPZ917519:BPZ917520 BZV917519:BZV917520 CJR917519:CJR917520 CTN917519:CTN917520 DDJ917519:DDJ917520 DNF917519:DNF917520 DXB917519:DXB917520 EGX917519:EGX917520 EQT917519:EQT917520 FAP917519:FAP917520 FKL917519:FKL917520 FUH917519:FUH917520 GED917519:GED917520 GNZ917519:GNZ917520 GXV917519:GXV917520 HHR917519:HHR917520 HRN917519:HRN917520 IBJ917519:IBJ917520 ILF917519:ILF917520 IVB917519:IVB917520 JEX917519:JEX917520 JOT917519:JOT917520 JYP917519:JYP917520 KIL917519:KIL917520 KSH917519:KSH917520 LCD917519:LCD917520 LLZ917519:LLZ917520 LVV917519:LVV917520 MFR917519:MFR917520 MPN917519:MPN917520 MZJ917519:MZJ917520 NJF917519:NJF917520 NTB917519:NTB917520 OCX917519:OCX917520 OMT917519:OMT917520 OWP917519:OWP917520 PGL917519:PGL917520 PQH917519:PQH917520 QAD917519:QAD917520 QJZ917519:QJZ917520 QTV917519:QTV917520 RDR917519:RDR917520 RNN917519:RNN917520 RXJ917519:RXJ917520 SHF917519:SHF917520 SRB917519:SRB917520 TAX917519:TAX917520 TKT917519:TKT917520 TUP917519:TUP917520 UEL917519:UEL917520 UOH917519:UOH917520 UYD917519:UYD917520 VHZ917519:VHZ917520 VRV917519:VRV917520 WBR917519:WBR917520 WLN917519:WLN917520 WVJ917519:WVJ917520 B983055:B983056 IX983055:IX983056 ST983055:ST983056 ACP983055:ACP983056 AML983055:AML983056 AWH983055:AWH983056 BGD983055:BGD983056 BPZ983055:BPZ983056 BZV983055:BZV983056 CJR983055:CJR983056 CTN983055:CTN983056 DDJ983055:DDJ983056 DNF983055:DNF983056 DXB983055:DXB983056 EGX983055:EGX983056 EQT983055:EQT983056 FAP983055:FAP983056 FKL983055:FKL983056 FUH983055:FUH983056 GED983055:GED983056 GNZ983055:GNZ983056 GXV983055:GXV983056 HHR983055:HHR983056 HRN983055:HRN983056 IBJ983055:IBJ983056 ILF983055:ILF983056 IVB983055:IVB983056 JEX983055:JEX983056 JOT983055:JOT983056 JYP983055:JYP983056 KIL983055:KIL983056 KSH983055:KSH983056 LCD983055:LCD983056 LLZ983055:LLZ983056 LVV983055:LVV983056 MFR983055:MFR983056 MPN983055:MPN983056 MZJ983055:MZJ983056 NJF983055:NJF983056 NTB983055:NTB983056 OCX983055:OCX983056 OMT983055:OMT983056 OWP983055:OWP983056 PGL983055:PGL983056 PQH983055:PQH983056 QAD983055:QAD983056 QJZ983055:QJZ983056 QTV983055:QTV983056 RDR983055:RDR983056 RNN983055:RNN983056 RXJ983055:RXJ983056 SHF983055:SHF983056 SRB983055:SRB983056 TAX983055:TAX983056 TKT983055:TKT983056 TUP983055:TUP983056 UEL983055:UEL983056 UOH983055:UOH983056 UYD983055:UYD983056 VHZ983055:VHZ983056 VRV983055:VRV983056 WBR983055:WBR983056 WLN983055:WLN983056 WVJ983055:WVJ983056" xr:uid="{00000000-0002-0000-0000-000000000000}">
      <formula1>"FireFox,Chrome,Safari,InternetExplorer"</formula1>
    </dataValidation>
    <dataValidation type="list" allowBlank="1" showInputMessage="1" showErrorMessage="1" sqref="B8 IX8 ST8 ACP8 AML8 AWH8 BGD8 BPZ8 BZV8 CJR8 CTN8 DDJ8 DNF8 DXB8 EGX8 EQT8 FAP8 FKL8 FUH8 GED8 GNZ8 GXV8 HHR8 HRN8 IBJ8 ILF8 IVB8 JEX8 JOT8 JYP8 KIL8 KSH8 LCD8 LLZ8 LVV8 MFR8 MPN8 MZJ8 NJF8 NTB8 OCX8 OMT8 OWP8 PGL8 PQH8 QAD8 QJZ8 QTV8 RDR8 RNN8 RXJ8 SHF8 SRB8 TAX8 TKT8 TUP8 UEL8 UOH8 UYD8 VHZ8 VRV8 WBR8 WLN8 WVJ8 B65553 IX65553 ST65553 ACP65553 AML65553 AWH65553 BGD65553 BPZ65553 BZV65553 CJR65553 CTN65553 DDJ65553 DNF65553 DXB65553 EGX65553 EQT65553 FAP65553 FKL65553 FUH65553 GED65553 GNZ65553 GXV65553 HHR65553 HRN65553 IBJ65553 ILF65553 IVB65553 JEX65553 JOT65553 JYP65553 KIL65553 KSH65553 LCD65553 LLZ65553 LVV65553 MFR65553 MPN65553 MZJ65553 NJF65553 NTB65553 OCX65553 OMT65553 OWP65553 PGL65553 PQH65553 QAD65553 QJZ65553 QTV65553 RDR65553 RNN65553 RXJ65553 SHF65553 SRB65553 TAX65553 TKT65553 TUP65553 UEL65553 UOH65553 UYD65553 VHZ65553 VRV65553 WBR65553 WLN65553 WVJ65553 B131089 IX131089 ST131089 ACP131089 AML131089 AWH131089 BGD131089 BPZ131089 BZV131089 CJR131089 CTN131089 DDJ131089 DNF131089 DXB131089 EGX131089 EQT131089 FAP131089 FKL131089 FUH131089 GED131089 GNZ131089 GXV131089 HHR131089 HRN131089 IBJ131089 ILF131089 IVB131089 JEX131089 JOT131089 JYP131089 KIL131089 KSH131089 LCD131089 LLZ131089 LVV131089 MFR131089 MPN131089 MZJ131089 NJF131089 NTB131089 OCX131089 OMT131089 OWP131089 PGL131089 PQH131089 QAD131089 QJZ131089 QTV131089 RDR131089 RNN131089 RXJ131089 SHF131089 SRB131089 TAX131089 TKT131089 TUP131089 UEL131089 UOH131089 UYD131089 VHZ131089 VRV131089 WBR131089 WLN131089 WVJ131089 B196625 IX196625 ST196625 ACP196625 AML196625 AWH196625 BGD196625 BPZ196625 BZV196625 CJR196625 CTN196625 DDJ196625 DNF196625 DXB196625 EGX196625 EQT196625 FAP196625 FKL196625 FUH196625 GED196625 GNZ196625 GXV196625 HHR196625 HRN196625 IBJ196625 ILF196625 IVB196625 JEX196625 JOT196625 JYP196625 KIL196625 KSH196625 LCD196625 LLZ196625 LVV196625 MFR196625 MPN196625 MZJ196625 NJF196625 NTB196625 OCX196625 OMT196625 OWP196625 PGL196625 PQH196625 QAD196625 QJZ196625 QTV196625 RDR196625 RNN196625 RXJ196625 SHF196625 SRB196625 TAX196625 TKT196625 TUP196625 UEL196625 UOH196625 UYD196625 VHZ196625 VRV196625 WBR196625 WLN196625 WVJ196625 B262161 IX262161 ST262161 ACP262161 AML262161 AWH262161 BGD262161 BPZ262161 BZV262161 CJR262161 CTN262161 DDJ262161 DNF262161 DXB262161 EGX262161 EQT262161 FAP262161 FKL262161 FUH262161 GED262161 GNZ262161 GXV262161 HHR262161 HRN262161 IBJ262161 ILF262161 IVB262161 JEX262161 JOT262161 JYP262161 KIL262161 KSH262161 LCD262161 LLZ262161 LVV262161 MFR262161 MPN262161 MZJ262161 NJF262161 NTB262161 OCX262161 OMT262161 OWP262161 PGL262161 PQH262161 QAD262161 QJZ262161 QTV262161 RDR262161 RNN262161 RXJ262161 SHF262161 SRB262161 TAX262161 TKT262161 TUP262161 UEL262161 UOH262161 UYD262161 VHZ262161 VRV262161 WBR262161 WLN262161 WVJ262161 B327697 IX327697 ST327697 ACP327697 AML327697 AWH327697 BGD327697 BPZ327697 BZV327697 CJR327697 CTN327697 DDJ327697 DNF327697 DXB327697 EGX327697 EQT327697 FAP327697 FKL327697 FUH327697 GED327697 GNZ327697 GXV327697 HHR327697 HRN327697 IBJ327697 ILF327697 IVB327697 JEX327697 JOT327697 JYP327697 KIL327697 KSH327697 LCD327697 LLZ327697 LVV327697 MFR327697 MPN327697 MZJ327697 NJF327697 NTB327697 OCX327697 OMT327697 OWP327697 PGL327697 PQH327697 QAD327697 QJZ327697 QTV327697 RDR327697 RNN327697 RXJ327697 SHF327697 SRB327697 TAX327697 TKT327697 TUP327697 UEL327697 UOH327697 UYD327697 VHZ327697 VRV327697 WBR327697 WLN327697 WVJ327697 B393233 IX393233 ST393233 ACP393233 AML393233 AWH393233 BGD393233 BPZ393233 BZV393233 CJR393233 CTN393233 DDJ393233 DNF393233 DXB393233 EGX393233 EQT393233 FAP393233 FKL393233 FUH393233 GED393233 GNZ393233 GXV393233 HHR393233 HRN393233 IBJ393233 ILF393233 IVB393233 JEX393233 JOT393233 JYP393233 KIL393233 KSH393233 LCD393233 LLZ393233 LVV393233 MFR393233 MPN393233 MZJ393233 NJF393233 NTB393233 OCX393233 OMT393233 OWP393233 PGL393233 PQH393233 QAD393233 QJZ393233 QTV393233 RDR393233 RNN393233 RXJ393233 SHF393233 SRB393233 TAX393233 TKT393233 TUP393233 UEL393233 UOH393233 UYD393233 VHZ393233 VRV393233 WBR393233 WLN393233 WVJ393233 B458769 IX458769 ST458769 ACP458769 AML458769 AWH458769 BGD458769 BPZ458769 BZV458769 CJR458769 CTN458769 DDJ458769 DNF458769 DXB458769 EGX458769 EQT458769 FAP458769 FKL458769 FUH458769 GED458769 GNZ458769 GXV458769 HHR458769 HRN458769 IBJ458769 ILF458769 IVB458769 JEX458769 JOT458769 JYP458769 KIL458769 KSH458769 LCD458769 LLZ458769 LVV458769 MFR458769 MPN458769 MZJ458769 NJF458769 NTB458769 OCX458769 OMT458769 OWP458769 PGL458769 PQH458769 QAD458769 QJZ458769 QTV458769 RDR458769 RNN458769 RXJ458769 SHF458769 SRB458769 TAX458769 TKT458769 TUP458769 UEL458769 UOH458769 UYD458769 VHZ458769 VRV458769 WBR458769 WLN458769 WVJ458769 B524305 IX524305 ST524305 ACP524305 AML524305 AWH524305 BGD524305 BPZ524305 BZV524305 CJR524305 CTN524305 DDJ524305 DNF524305 DXB524305 EGX524305 EQT524305 FAP524305 FKL524305 FUH524305 GED524305 GNZ524305 GXV524305 HHR524305 HRN524305 IBJ524305 ILF524305 IVB524305 JEX524305 JOT524305 JYP524305 KIL524305 KSH524305 LCD524305 LLZ524305 LVV524305 MFR524305 MPN524305 MZJ524305 NJF524305 NTB524305 OCX524305 OMT524305 OWP524305 PGL524305 PQH524305 QAD524305 QJZ524305 QTV524305 RDR524305 RNN524305 RXJ524305 SHF524305 SRB524305 TAX524305 TKT524305 TUP524305 UEL524305 UOH524305 UYD524305 VHZ524305 VRV524305 WBR524305 WLN524305 WVJ524305 B589841 IX589841 ST589841 ACP589841 AML589841 AWH589841 BGD589841 BPZ589841 BZV589841 CJR589841 CTN589841 DDJ589841 DNF589841 DXB589841 EGX589841 EQT589841 FAP589841 FKL589841 FUH589841 GED589841 GNZ589841 GXV589841 HHR589841 HRN589841 IBJ589841 ILF589841 IVB589841 JEX589841 JOT589841 JYP589841 KIL589841 KSH589841 LCD589841 LLZ589841 LVV589841 MFR589841 MPN589841 MZJ589841 NJF589841 NTB589841 OCX589841 OMT589841 OWP589841 PGL589841 PQH589841 QAD589841 QJZ589841 QTV589841 RDR589841 RNN589841 RXJ589841 SHF589841 SRB589841 TAX589841 TKT589841 TUP589841 UEL589841 UOH589841 UYD589841 VHZ589841 VRV589841 WBR589841 WLN589841 WVJ589841 B655377 IX655377 ST655377 ACP655377 AML655377 AWH655377 BGD655377 BPZ655377 BZV655377 CJR655377 CTN655377 DDJ655377 DNF655377 DXB655377 EGX655377 EQT655377 FAP655377 FKL655377 FUH655377 GED655377 GNZ655377 GXV655377 HHR655377 HRN655377 IBJ655377 ILF655377 IVB655377 JEX655377 JOT655377 JYP655377 KIL655377 KSH655377 LCD655377 LLZ655377 LVV655377 MFR655377 MPN655377 MZJ655377 NJF655377 NTB655377 OCX655377 OMT655377 OWP655377 PGL655377 PQH655377 QAD655377 QJZ655377 QTV655377 RDR655377 RNN655377 RXJ655377 SHF655377 SRB655377 TAX655377 TKT655377 TUP655377 UEL655377 UOH655377 UYD655377 VHZ655377 VRV655377 WBR655377 WLN655377 WVJ655377 B720913 IX720913 ST720913 ACP720913 AML720913 AWH720913 BGD720913 BPZ720913 BZV720913 CJR720913 CTN720913 DDJ720913 DNF720913 DXB720913 EGX720913 EQT720913 FAP720913 FKL720913 FUH720913 GED720913 GNZ720913 GXV720913 HHR720913 HRN720913 IBJ720913 ILF720913 IVB720913 JEX720913 JOT720913 JYP720913 KIL720913 KSH720913 LCD720913 LLZ720913 LVV720913 MFR720913 MPN720913 MZJ720913 NJF720913 NTB720913 OCX720913 OMT720913 OWP720913 PGL720913 PQH720913 QAD720913 QJZ720913 QTV720913 RDR720913 RNN720913 RXJ720913 SHF720913 SRB720913 TAX720913 TKT720913 TUP720913 UEL720913 UOH720913 UYD720913 VHZ720913 VRV720913 WBR720913 WLN720913 WVJ720913 B786449 IX786449 ST786449 ACP786449 AML786449 AWH786449 BGD786449 BPZ786449 BZV786449 CJR786449 CTN786449 DDJ786449 DNF786449 DXB786449 EGX786449 EQT786449 FAP786449 FKL786449 FUH786449 GED786449 GNZ786449 GXV786449 HHR786449 HRN786449 IBJ786449 ILF786449 IVB786449 JEX786449 JOT786449 JYP786449 KIL786449 KSH786449 LCD786449 LLZ786449 LVV786449 MFR786449 MPN786449 MZJ786449 NJF786449 NTB786449 OCX786449 OMT786449 OWP786449 PGL786449 PQH786449 QAD786449 QJZ786449 QTV786449 RDR786449 RNN786449 RXJ786449 SHF786449 SRB786449 TAX786449 TKT786449 TUP786449 UEL786449 UOH786449 UYD786449 VHZ786449 VRV786449 WBR786449 WLN786449 WVJ786449 B851985 IX851985 ST851985 ACP851985 AML851985 AWH851985 BGD851985 BPZ851985 BZV851985 CJR851985 CTN851985 DDJ851985 DNF851985 DXB851985 EGX851985 EQT851985 FAP851985 FKL851985 FUH851985 GED851985 GNZ851985 GXV851985 HHR851985 HRN851985 IBJ851985 ILF851985 IVB851985 JEX851985 JOT851985 JYP851985 KIL851985 KSH851985 LCD851985 LLZ851985 LVV851985 MFR851985 MPN851985 MZJ851985 NJF851985 NTB851985 OCX851985 OMT851985 OWP851985 PGL851985 PQH851985 QAD851985 QJZ851985 QTV851985 RDR851985 RNN851985 RXJ851985 SHF851985 SRB851985 TAX851985 TKT851985 TUP851985 UEL851985 UOH851985 UYD851985 VHZ851985 VRV851985 WBR851985 WLN851985 WVJ851985 B917521 IX917521 ST917521 ACP917521 AML917521 AWH917521 BGD917521 BPZ917521 BZV917521 CJR917521 CTN917521 DDJ917521 DNF917521 DXB917521 EGX917521 EQT917521 FAP917521 FKL917521 FUH917521 GED917521 GNZ917521 GXV917521 HHR917521 HRN917521 IBJ917521 ILF917521 IVB917521 JEX917521 JOT917521 JYP917521 KIL917521 KSH917521 LCD917521 LLZ917521 LVV917521 MFR917521 MPN917521 MZJ917521 NJF917521 NTB917521 OCX917521 OMT917521 OWP917521 PGL917521 PQH917521 QAD917521 QJZ917521 QTV917521 RDR917521 RNN917521 RXJ917521 SHF917521 SRB917521 TAX917521 TKT917521 TUP917521 UEL917521 UOH917521 UYD917521 VHZ917521 VRV917521 WBR917521 WLN917521 WVJ917521 B983057 IX983057 ST983057 ACP983057 AML983057 AWH983057 BGD983057 BPZ983057 BZV983057 CJR983057 CTN983057 DDJ983057 DNF983057 DXB983057 EGX983057 EQT983057 FAP983057 FKL983057 FUH983057 GED983057 GNZ983057 GXV983057 HHR983057 HRN983057 IBJ983057 ILF983057 IVB983057 JEX983057 JOT983057 JYP983057 KIL983057 KSH983057 LCD983057 LLZ983057 LVV983057 MFR983057 MPN983057 MZJ983057 NJF983057 NTB983057 OCX983057 OMT983057 OWP983057 PGL983057 PQH983057 QAD983057 QJZ983057 QTV983057 RDR983057 RNN983057 RXJ983057 SHF983057 SRB983057 TAX983057 TKT983057 TUP983057 UEL983057 UOH983057 UYD983057 VHZ983057 VRV983057 WBR983057 WLN983057 WVJ983057" xr:uid="{00000000-0002-0000-0000-000001000000}">
      <formula1>"True,False"</formula1>
    </dataValidation>
    <dataValidation type="list" allowBlank="1" showInputMessage="1" showErrorMessage="1" sqref="WVJ983075 IX29 ST29 ACP29 AML29 AWH29 BGD29 BPZ29 BZV29 CJR29 CTN29 DDJ29 DNF29 DXB29 EGX29 EQT29 FAP29 FKL29 FUH29 GED29 GNZ29 GXV29 HHR29 HRN29 IBJ29 ILF29 IVB29 JEX29 JOT29 JYP29 KIL29 KSH29 LCD29 LLZ29 LVV29 MFR29 MPN29 MZJ29 NJF29 NTB29 OCX29 OMT29 OWP29 PGL29 PQH29 QAD29 QJZ29 QTV29 RDR29 RNN29 RXJ29 SHF29 SRB29 TAX29 TKT29 TUP29 UEL29 UOH29 UYD29 VHZ29 VRV29 WBR29 WLN29 WVJ29 B65571 IX65571 ST65571 ACP65571 AML65571 AWH65571 BGD65571 BPZ65571 BZV65571 CJR65571 CTN65571 DDJ65571 DNF65571 DXB65571 EGX65571 EQT65571 FAP65571 FKL65571 FUH65571 GED65571 GNZ65571 GXV65571 HHR65571 HRN65571 IBJ65571 ILF65571 IVB65571 JEX65571 JOT65571 JYP65571 KIL65571 KSH65571 LCD65571 LLZ65571 LVV65571 MFR65571 MPN65571 MZJ65571 NJF65571 NTB65571 OCX65571 OMT65571 OWP65571 PGL65571 PQH65571 QAD65571 QJZ65571 QTV65571 RDR65571 RNN65571 RXJ65571 SHF65571 SRB65571 TAX65571 TKT65571 TUP65571 UEL65571 UOH65571 UYD65571 VHZ65571 VRV65571 WBR65571 WLN65571 WVJ65571 B131107 IX131107 ST131107 ACP131107 AML131107 AWH131107 BGD131107 BPZ131107 BZV131107 CJR131107 CTN131107 DDJ131107 DNF131107 DXB131107 EGX131107 EQT131107 FAP131107 FKL131107 FUH131107 GED131107 GNZ131107 GXV131107 HHR131107 HRN131107 IBJ131107 ILF131107 IVB131107 JEX131107 JOT131107 JYP131107 KIL131107 KSH131107 LCD131107 LLZ131107 LVV131107 MFR131107 MPN131107 MZJ131107 NJF131107 NTB131107 OCX131107 OMT131107 OWP131107 PGL131107 PQH131107 QAD131107 QJZ131107 QTV131107 RDR131107 RNN131107 RXJ131107 SHF131107 SRB131107 TAX131107 TKT131107 TUP131107 UEL131107 UOH131107 UYD131107 VHZ131107 VRV131107 WBR131107 WLN131107 WVJ131107 B196643 IX196643 ST196643 ACP196643 AML196643 AWH196643 BGD196643 BPZ196643 BZV196643 CJR196643 CTN196643 DDJ196643 DNF196643 DXB196643 EGX196643 EQT196643 FAP196643 FKL196643 FUH196643 GED196643 GNZ196643 GXV196643 HHR196643 HRN196643 IBJ196643 ILF196643 IVB196643 JEX196643 JOT196643 JYP196643 KIL196643 KSH196643 LCD196643 LLZ196643 LVV196643 MFR196643 MPN196643 MZJ196643 NJF196643 NTB196643 OCX196643 OMT196643 OWP196643 PGL196643 PQH196643 QAD196643 QJZ196643 QTV196643 RDR196643 RNN196643 RXJ196643 SHF196643 SRB196643 TAX196643 TKT196643 TUP196643 UEL196643 UOH196643 UYD196643 VHZ196643 VRV196643 WBR196643 WLN196643 WVJ196643 B262179 IX262179 ST262179 ACP262179 AML262179 AWH262179 BGD262179 BPZ262179 BZV262179 CJR262179 CTN262179 DDJ262179 DNF262179 DXB262179 EGX262179 EQT262179 FAP262179 FKL262179 FUH262179 GED262179 GNZ262179 GXV262179 HHR262179 HRN262179 IBJ262179 ILF262179 IVB262179 JEX262179 JOT262179 JYP262179 KIL262179 KSH262179 LCD262179 LLZ262179 LVV262179 MFR262179 MPN262179 MZJ262179 NJF262179 NTB262179 OCX262179 OMT262179 OWP262179 PGL262179 PQH262179 QAD262179 QJZ262179 QTV262179 RDR262179 RNN262179 RXJ262179 SHF262179 SRB262179 TAX262179 TKT262179 TUP262179 UEL262179 UOH262179 UYD262179 VHZ262179 VRV262179 WBR262179 WLN262179 WVJ262179 B327715 IX327715 ST327715 ACP327715 AML327715 AWH327715 BGD327715 BPZ327715 BZV327715 CJR327715 CTN327715 DDJ327715 DNF327715 DXB327715 EGX327715 EQT327715 FAP327715 FKL327715 FUH327715 GED327715 GNZ327715 GXV327715 HHR327715 HRN327715 IBJ327715 ILF327715 IVB327715 JEX327715 JOT327715 JYP327715 KIL327715 KSH327715 LCD327715 LLZ327715 LVV327715 MFR327715 MPN327715 MZJ327715 NJF327715 NTB327715 OCX327715 OMT327715 OWP327715 PGL327715 PQH327715 QAD327715 QJZ327715 QTV327715 RDR327715 RNN327715 RXJ327715 SHF327715 SRB327715 TAX327715 TKT327715 TUP327715 UEL327715 UOH327715 UYD327715 VHZ327715 VRV327715 WBR327715 WLN327715 WVJ327715 B393251 IX393251 ST393251 ACP393251 AML393251 AWH393251 BGD393251 BPZ393251 BZV393251 CJR393251 CTN393251 DDJ393251 DNF393251 DXB393251 EGX393251 EQT393251 FAP393251 FKL393251 FUH393251 GED393251 GNZ393251 GXV393251 HHR393251 HRN393251 IBJ393251 ILF393251 IVB393251 JEX393251 JOT393251 JYP393251 KIL393251 KSH393251 LCD393251 LLZ393251 LVV393251 MFR393251 MPN393251 MZJ393251 NJF393251 NTB393251 OCX393251 OMT393251 OWP393251 PGL393251 PQH393251 QAD393251 QJZ393251 QTV393251 RDR393251 RNN393251 RXJ393251 SHF393251 SRB393251 TAX393251 TKT393251 TUP393251 UEL393251 UOH393251 UYD393251 VHZ393251 VRV393251 WBR393251 WLN393251 WVJ393251 B458787 IX458787 ST458787 ACP458787 AML458787 AWH458787 BGD458787 BPZ458787 BZV458787 CJR458787 CTN458787 DDJ458787 DNF458787 DXB458787 EGX458787 EQT458787 FAP458787 FKL458787 FUH458787 GED458787 GNZ458787 GXV458787 HHR458787 HRN458787 IBJ458787 ILF458787 IVB458787 JEX458787 JOT458787 JYP458787 KIL458787 KSH458787 LCD458787 LLZ458787 LVV458787 MFR458787 MPN458787 MZJ458787 NJF458787 NTB458787 OCX458787 OMT458787 OWP458787 PGL458787 PQH458787 QAD458787 QJZ458787 QTV458787 RDR458787 RNN458787 RXJ458787 SHF458787 SRB458787 TAX458787 TKT458787 TUP458787 UEL458787 UOH458787 UYD458787 VHZ458787 VRV458787 WBR458787 WLN458787 WVJ458787 B524323 IX524323 ST524323 ACP524323 AML524323 AWH524323 BGD524323 BPZ524323 BZV524323 CJR524323 CTN524323 DDJ524323 DNF524323 DXB524323 EGX524323 EQT524323 FAP524323 FKL524323 FUH524323 GED524323 GNZ524323 GXV524323 HHR524323 HRN524323 IBJ524323 ILF524323 IVB524323 JEX524323 JOT524323 JYP524323 KIL524323 KSH524323 LCD524323 LLZ524323 LVV524323 MFR524323 MPN524323 MZJ524323 NJF524323 NTB524323 OCX524323 OMT524323 OWP524323 PGL524323 PQH524323 QAD524323 QJZ524323 QTV524323 RDR524323 RNN524323 RXJ524323 SHF524323 SRB524323 TAX524323 TKT524323 TUP524323 UEL524323 UOH524323 UYD524323 VHZ524323 VRV524323 WBR524323 WLN524323 WVJ524323 B589859 IX589859 ST589859 ACP589859 AML589859 AWH589859 BGD589859 BPZ589859 BZV589859 CJR589859 CTN589859 DDJ589859 DNF589859 DXB589859 EGX589859 EQT589859 FAP589859 FKL589859 FUH589859 GED589859 GNZ589859 GXV589859 HHR589859 HRN589859 IBJ589859 ILF589859 IVB589859 JEX589859 JOT589859 JYP589859 KIL589859 KSH589859 LCD589859 LLZ589859 LVV589859 MFR589859 MPN589859 MZJ589859 NJF589859 NTB589859 OCX589859 OMT589859 OWP589859 PGL589859 PQH589859 QAD589859 QJZ589859 QTV589859 RDR589859 RNN589859 RXJ589859 SHF589859 SRB589859 TAX589859 TKT589859 TUP589859 UEL589859 UOH589859 UYD589859 VHZ589859 VRV589859 WBR589859 WLN589859 WVJ589859 B655395 IX655395 ST655395 ACP655395 AML655395 AWH655395 BGD655395 BPZ655395 BZV655395 CJR655395 CTN655395 DDJ655395 DNF655395 DXB655395 EGX655395 EQT655395 FAP655395 FKL655395 FUH655395 GED655395 GNZ655395 GXV655395 HHR655395 HRN655395 IBJ655395 ILF655395 IVB655395 JEX655395 JOT655395 JYP655395 KIL655395 KSH655395 LCD655395 LLZ655395 LVV655395 MFR655395 MPN655395 MZJ655395 NJF655395 NTB655395 OCX655395 OMT655395 OWP655395 PGL655395 PQH655395 QAD655395 QJZ655395 QTV655395 RDR655395 RNN655395 RXJ655395 SHF655395 SRB655395 TAX655395 TKT655395 TUP655395 UEL655395 UOH655395 UYD655395 VHZ655395 VRV655395 WBR655395 WLN655395 WVJ655395 B720931 IX720931 ST720931 ACP720931 AML720931 AWH720931 BGD720931 BPZ720931 BZV720931 CJR720931 CTN720931 DDJ720931 DNF720931 DXB720931 EGX720931 EQT720931 FAP720931 FKL720931 FUH720931 GED720931 GNZ720931 GXV720931 HHR720931 HRN720931 IBJ720931 ILF720931 IVB720931 JEX720931 JOT720931 JYP720931 KIL720931 KSH720931 LCD720931 LLZ720931 LVV720931 MFR720931 MPN720931 MZJ720931 NJF720931 NTB720931 OCX720931 OMT720931 OWP720931 PGL720931 PQH720931 QAD720931 QJZ720931 QTV720931 RDR720931 RNN720931 RXJ720931 SHF720931 SRB720931 TAX720931 TKT720931 TUP720931 UEL720931 UOH720931 UYD720931 VHZ720931 VRV720931 WBR720931 WLN720931 WVJ720931 B786467 IX786467 ST786467 ACP786467 AML786467 AWH786467 BGD786467 BPZ786467 BZV786467 CJR786467 CTN786467 DDJ786467 DNF786467 DXB786467 EGX786467 EQT786467 FAP786467 FKL786467 FUH786467 GED786467 GNZ786467 GXV786467 HHR786467 HRN786467 IBJ786467 ILF786467 IVB786467 JEX786467 JOT786467 JYP786467 KIL786467 KSH786467 LCD786467 LLZ786467 LVV786467 MFR786467 MPN786467 MZJ786467 NJF786467 NTB786467 OCX786467 OMT786467 OWP786467 PGL786467 PQH786467 QAD786467 QJZ786467 QTV786467 RDR786467 RNN786467 RXJ786467 SHF786467 SRB786467 TAX786467 TKT786467 TUP786467 UEL786467 UOH786467 UYD786467 VHZ786467 VRV786467 WBR786467 WLN786467 WVJ786467 B852003 IX852003 ST852003 ACP852003 AML852003 AWH852003 BGD852003 BPZ852003 BZV852003 CJR852003 CTN852003 DDJ852003 DNF852003 DXB852003 EGX852003 EQT852003 FAP852003 FKL852003 FUH852003 GED852003 GNZ852003 GXV852003 HHR852003 HRN852003 IBJ852003 ILF852003 IVB852003 JEX852003 JOT852003 JYP852003 KIL852003 KSH852003 LCD852003 LLZ852003 LVV852003 MFR852003 MPN852003 MZJ852003 NJF852003 NTB852003 OCX852003 OMT852003 OWP852003 PGL852003 PQH852003 QAD852003 QJZ852003 QTV852003 RDR852003 RNN852003 RXJ852003 SHF852003 SRB852003 TAX852003 TKT852003 TUP852003 UEL852003 UOH852003 UYD852003 VHZ852003 VRV852003 WBR852003 WLN852003 WVJ852003 B917539 IX917539 ST917539 ACP917539 AML917539 AWH917539 BGD917539 BPZ917539 BZV917539 CJR917539 CTN917539 DDJ917539 DNF917539 DXB917539 EGX917539 EQT917539 FAP917539 FKL917539 FUH917539 GED917539 GNZ917539 GXV917539 HHR917539 HRN917539 IBJ917539 ILF917539 IVB917539 JEX917539 JOT917539 JYP917539 KIL917539 KSH917539 LCD917539 LLZ917539 LVV917539 MFR917539 MPN917539 MZJ917539 NJF917539 NTB917539 OCX917539 OMT917539 OWP917539 PGL917539 PQH917539 QAD917539 QJZ917539 QTV917539 RDR917539 RNN917539 RXJ917539 SHF917539 SRB917539 TAX917539 TKT917539 TUP917539 UEL917539 UOH917539 UYD917539 VHZ917539 VRV917539 WBR917539 WLN917539 WVJ917539 B983075 IX983075 ST983075 ACP983075 AML983075 AWH983075 BGD983075 BPZ983075 BZV983075 CJR983075 CTN983075 DDJ983075 DNF983075 DXB983075 EGX983075 EQT983075 FAP983075 FKL983075 FUH983075 GED983075 GNZ983075 GXV983075 HHR983075 HRN983075 IBJ983075 ILF983075 IVB983075 JEX983075 JOT983075 JYP983075 KIL983075 KSH983075 LCD983075 LLZ983075 LVV983075 MFR983075 MPN983075 MZJ983075 NJF983075 NTB983075 OCX983075 OMT983075 OWP983075 PGL983075 PQH983075 QAD983075 QJZ983075 QTV983075 RDR983075 RNN983075 RXJ983075 SHF983075 SRB983075 TAX983075 TKT983075 TUP983075 UEL983075 UOH983075 UYD983075 VHZ983075 VRV983075 WBR983075 WLN983075 B29" xr:uid="{00000000-0002-0000-0000-000002000000}">
      <formula1>"Oracle,MsSQL"</formula1>
    </dataValidation>
  </dataValidations>
  <hyperlinks>
    <hyperlink ref="B50" r:id="rId1" xr:uid="{00000000-0004-0000-0000-000000000000}"/>
    <hyperlink ref="B27" r:id="rId2" xr:uid="{00000000-0004-0000-0000-000002000000}"/>
    <hyperlink ref="B4" r:id="rId3" xr:uid="{31BDF015-6B63-45C0-9358-92C9B3EE391E}"/>
  </hyperlinks>
  <pageMargins left="0.69861110000000004" right="0.69861110000000004" top="0.75" bottom="0.75" header="0.3" footer="0.3"/>
  <pageSetup orientation="portrait" r:id="rId4"/>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E12"/>
  <sheetViews>
    <sheetView workbookViewId="0">
      <selection activeCell="C15" sqref="C15"/>
    </sheetView>
  </sheetViews>
  <sheetFormatPr defaultColWidth="9.1328125" defaultRowHeight="13.15" x14ac:dyDescent="0.4"/>
  <cols>
    <col min="1" max="1" width="19.86328125" style="4" bestFit="1" customWidth="1"/>
    <col min="2" max="2" width="25.86328125" style="4" bestFit="1" customWidth="1"/>
    <col min="3" max="3" width="77.6640625" style="4" bestFit="1" customWidth="1"/>
    <col min="4" max="4" width="19.86328125" style="4" bestFit="1" customWidth="1"/>
    <col min="5" max="5" width="27.6640625" style="4" bestFit="1" customWidth="1"/>
    <col min="6" max="6" width="13.1328125" style="4" bestFit="1" customWidth="1"/>
    <col min="7" max="16384" width="9.1328125" style="4"/>
  </cols>
  <sheetData>
    <row r="1" spans="1:5" x14ac:dyDescent="0.4">
      <c r="A1" s="51"/>
      <c r="B1" s="51"/>
    </row>
    <row r="2" spans="1:5" x14ac:dyDescent="0.4">
      <c r="A2" s="51"/>
      <c r="B2" s="51"/>
    </row>
    <row r="3" spans="1:5" x14ac:dyDescent="0.4">
      <c r="A3" s="51"/>
      <c r="B3" s="51"/>
    </row>
    <row r="5" spans="1:5" x14ac:dyDescent="0.4">
      <c r="A5" s="52" t="s">
        <v>0</v>
      </c>
      <c r="B5" s="53" t="s">
        <v>1</v>
      </c>
      <c r="C5" s="53" t="s">
        <v>110</v>
      </c>
      <c r="D5" s="53" t="s">
        <v>111</v>
      </c>
      <c r="E5" s="53" t="s">
        <v>112</v>
      </c>
    </row>
    <row r="6" spans="1:5" x14ac:dyDescent="0.4">
      <c r="A6" s="54" t="s">
        <v>2</v>
      </c>
      <c r="B6" s="55" t="str">
        <f>Config!B2</f>
        <v>RegressionTesting_1</v>
      </c>
      <c r="C6" s="54"/>
      <c r="D6" s="54"/>
      <c r="E6" s="54"/>
    </row>
    <row r="7" spans="1:5" x14ac:dyDescent="0.4">
      <c r="A7" s="56" t="s">
        <v>66</v>
      </c>
      <c r="B7" s="56" t="str">
        <f>Config!B48</f>
        <v>172.17.140.7:8085</v>
      </c>
      <c r="C7" s="56" t="str">
        <f>B6&amp;"\Resources\Input\Webservice\WebService.xlsx"</f>
        <v>RegressionTesting_1\Resources\Input\Webservice\WebService.xlsx</v>
      </c>
      <c r="D7" s="56" t="s">
        <v>113</v>
      </c>
      <c r="E7" s="56" t="s">
        <v>114</v>
      </c>
    </row>
    <row r="8" spans="1:5" x14ac:dyDescent="0.4">
      <c r="A8" s="56" t="s">
        <v>68</v>
      </c>
      <c r="B8" s="57" t="str">
        <f>Config!B49</f>
        <v>172.17.140.13:8093</v>
      </c>
      <c r="C8" s="56" t="str">
        <f>B6&amp;"\Resources\Input\Webservice\WebService.xlsx"</f>
        <v>RegressionTesting_1\Resources\Input\Webservice\WebService.xlsx</v>
      </c>
      <c r="D8" s="56" t="s">
        <v>115</v>
      </c>
      <c r="E8" s="56" t="s">
        <v>116</v>
      </c>
    </row>
    <row r="9" spans="1:5" x14ac:dyDescent="0.4">
      <c r="A9" s="56" t="s">
        <v>56</v>
      </c>
      <c r="B9" s="57" t="str">
        <f>Config!B41</f>
        <v>172.17.140.7:8183</v>
      </c>
      <c r="C9" s="56" t="str">
        <f>B6&amp;"\Resources\Input\RunBatch_Jbeam\RunBatch_Jbeam.xlsx"</f>
        <v>RegressionTesting_1\Resources\Input\RunBatch_Jbeam\RunBatch_Jbeam.xlsx</v>
      </c>
      <c r="D9" s="56" t="s">
        <v>117</v>
      </c>
      <c r="E9" s="56" t="s">
        <v>118</v>
      </c>
    </row>
    <row r="10" spans="1:5" x14ac:dyDescent="0.4">
      <c r="A10" s="56" t="s">
        <v>78</v>
      </c>
      <c r="B10" s="56" t="str">
        <f>Config!B54</f>
        <v>JBM80_8181</v>
      </c>
      <c r="C10" s="56" t="str">
        <f>Config!B2&amp;"\Resources\Input\RunBatch_Jbeam\DayBatch.xml"</f>
        <v>RegressionTesting_1\Resources\Input\RunBatch_Jbeam\DayBatch.xml</v>
      </c>
      <c r="D10" s="56" t="s">
        <v>119</v>
      </c>
      <c r="E10" s="56" t="s">
        <v>118</v>
      </c>
    </row>
    <row r="11" spans="1:5" x14ac:dyDescent="0.4">
      <c r="A11" s="56" t="s">
        <v>78</v>
      </c>
      <c r="B11" s="56" t="str">
        <f>Config!B54</f>
        <v>JBM80_8181</v>
      </c>
      <c r="C11" s="56" t="str">
        <f>Config!B2&amp;"\Resources\Input\RunBatch_Jbeam\DAY_BATCH.xml"</f>
        <v>RegressionTesting_1\Resources\Input\RunBatch_Jbeam\DAY_BATCH.xml</v>
      </c>
      <c r="D11" s="56" t="s">
        <v>119</v>
      </c>
      <c r="E11" s="56" t="s">
        <v>118</v>
      </c>
    </row>
    <row r="12" spans="1:5" x14ac:dyDescent="0.4">
      <c r="A12" s="56" t="s">
        <v>78</v>
      </c>
      <c r="B12" s="56" t="str">
        <f>Config!B54</f>
        <v>JBM80_8181</v>
      </c>
      <c r="C12" s="56" t="str">
        <f>Config!B2&amp;"\Resources\Input\RunBatch_Jbeam\NIGHT_BATCH.xml"</f>
        <v>RegressionTesting_1\Resources\Input\RunBatch_Jbeam\NIGHT_BATCH.xml</v>
      </c>
      <c r="D12" s="56" t="s">
        <v>119</v>
      </c>
      <c r="E12" s="56" t="s">
        <v>118</v>
      </c>
    </row>
  </sheetData>
  <pageMargins left="0.69861110000000004" right="0.69861110000000004" top="0.75" bottom="0.75" header="0.3" footer="0.3"/>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print="0" autoFill="0" autoPict="0" macro="[0]!Button1_Click">
                <anchor moveWithCells="1" sizeWithCells="1">
                  <from>
                    <xdr:col>0</xdr:col>
                    <xdr:colOff>723900</xdr:colOff>
                    <xdr:row>0</xdr:row>
                    <xdr:rowOff>138113</xdr:rowOff>
                  </from>
                  <to>
                    <xdr:col>1</xdr:col>
                    <xdr:colOff>785813</xdr:colOff>
                    <xdr:row>2</xdr:row>
                    <xdr:rowOff>23813</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4"/>
  <sheetViews>
    <sheetView workbookViewId="0">
      <selection activeCell="C4" sqref="C4"/>
    </sheetView>
  </sheetViews>
  <sheetFormatPr defaultRowHeight="14.25" x14ac:dyDescent="0.45"/>
  <sheetData>
    <row r="4" spans="3:3" x14ac:dyDescent="0.45">
      <c r="C4" t="s">
        <v>120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Config</vt:lpstr>
      <vt:lpstr>Env</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vinayak10323</dc:creator>
  <cp:lastModifiedBy>Mandar Rane</cp:lastModifiedBy>
  <dcterms:created xsi:type="dcterms:W3CDTF">2012-03-10T07:25:51Z</dcterms:created>
  <dcterms:modified xsi:type="dcterms:W3CDTF">2026-04-28T11:46:28Z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1033-9.1.0.4480</vt:lpwstr>
  </property>
</Properties>
</file>